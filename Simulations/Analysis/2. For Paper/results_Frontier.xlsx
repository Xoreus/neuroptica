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/>
  <mc:AlternateContent xmlns:mc="http://schemas.openxmlformats.org/markup-compatibility/2006">
    <mc:Choice Requires="x15">
      <x15ac:absPath xmlns:x15ac="http://schemas.microsoft.com/office/spreadsheetml/2010/11/ac" url="/Users/bokunzhao/Documents/McGill/Winter2024-G1/ECSE 691_697/WIDER_IOU_50_8x8/neuroptica/Simulations/Analysis/2. For Paper/"/>
    </mc:Choice>
  </mc:AlternateContent>
  <xr:revisionPtr revIDLastSave="0" documentId="8_{9D0AF09B-429D-4C48-B125-862FA70D1239}" xr6:coauthVersionLast="47" xr6:coauthVersionMax="47" xr10:uidLastSave="{00000000-0000-0000-0000-000000000000}"/>
  <bookViews>
    <workbookView xWindow="240" yWindow="500" windowWidth="14800" windowHeight="8020" firstSheet="3" activeTab="3" xr2:uid="{00000000-000D-0000-FFFF-FFFF00000000}"/>
  </bookViews>
  <sheets>
    <sheet name="Clements" sheetId="1" r:id="rId1"/>
    <sheet name="PTQ_with_noise" sheetId="5" r:id="rId2"/>
    <sheet name="Reck" sheetId="3" r:id="rId3"/>
    <sheet name="miniBokun" sheetId="2" r:id="rId4"/>
    <sheet name="just_calculations" sheetId="6" r:id="rId5"/>
    <sheet name="power-latency-area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5" i="2" l="1"/>
  <c r="S28" i="6"/>
  <c r="R28" i="6"/>
  <c r="P28" i="6"/>
  <c r="O28" i="6"/>
  <c r="P25" i="6"/>
  <c r="P22" i="6"/>
  <c r="P19" i="6"/>
  <c r="N25" i="6"/>
  <c r="N22" i="6"/>
  <c r="N19" i="6"/>
  <c r="S19" i="6"/>
  <c r="R19" i="6"/>
  <c r="U19" i="6"/>
  <c r="T19" i="6"/>
  <c r="U22" i="6"/>
  <c r="T22" i="6"/>
  <c r="S22" i="6"/>
  <c r="R22" i="6"/>
  <c r="U25" i="6"/>
  <c r="T25" i="6"/>
  <c r="R25" i="6"/>
  <c r="S25" i="6"/>
  <c r="Q25" i="6"/>
  <c r="Q22" i="6"/>
  <c r="Q19" i="6"/>
  <c r="O25" i="6"/>
  <c r="O22" i="6"/>
  <c r="O19" i="6"/>
  <c r="F27" i="6"/>
  <c r="E29" i="6"/>
  <c r="E26" i="6"/>
  <c r="E27" i="6"/>
  <c r="F27" i="4"/>
  <c r="AE9" i="2"/>
  <c r="AD9" i="2"/>
  <c r="AC9" i="2"/>
  <c r="AA9" i="2"/>
  <c r="AB9" i="2"/>
  <c r="Z9" i="2"/>
  <c r="Y9" i="2"/>
  <c r="X9" i="2"/>
  <c r="M518" i="2"/>
  <c r="N518" i="2"/>
  <c r="N500" i="2"/>
  <c r="M500" i="2"/>
  <c r="O518" i="1"/>
  <c r="L458" i="2"/>
  <c r="L494" i="2"/>
  <c r="E9" i="6"/>
  <c r="E97" i="3"/>
  <c r="D94" i="1"/>
  <c r="C7" i="6"/>
  <c r="D7" i="6"/>
  <c r="E5" i="6"/>
  <c r="D29" i="1"/>
  <c r="D65" i="1"/>
  <c r="E28" i="3"/>
  <c r="E64" i="3"/>
  <c r="F64" i="3"/>
  <c r="E65" i="1"/>
  <c r="E4" i="6"/>
  <c r="F28" i="3"/>
  <c r="E29" i="1"/>
  <c r="AM437" i="3"/>
  <c r="AN437" i="3"/>
  <c r="AM431" i="3"/>
  <c r="AN431" i="3"/>
  <c r="AM425" i="3"/>
  <c r="AN425" i="3"/>
  <c r="AM419" i="3"/>
  <c r="AN419" i="3"/>
  <c r="AM413" i="3"/>
  <c r="AN413" i="3"/>
  <c r="AM407" i="3"/>
  <c r="AN407" i="3"/>
  <c r="AM395" i="3"/>
  <c r="AN395" i="3"/>
  <c r="AM389" i="3"/>
  <c r="AN389" i="3"/>
  <c r="AM383" i="3"/>
  <c r="AN383" i="3"/>
  <c r="AM377" i="3"/>
  <c r="AN377" i="3"/>
  <c r="AM371" i="3"/>
  <c r="AN371" i="3"/>
  <c r="AM365" i="3"/>
  <c r="AN365" i="3"/>
  <c r="AM436" i="1"/>
  <c r="AN436" i="1"/>
  <c r="AM430" i="1"/>
  <c r="AN430" i="1"/>
  <c r="AM424" i="1"/>
  <c r="AN424" i="1"/>
  <c r="AN418" i="1"/>
  <c r="AN412" i="1"/>
  <c r="AN406" i="1"/>
  <c r="AN394" i="1"/>
  <c r="AN388" i="1"/>
  <c r="AN382" i="1"/>
  <c r="AN376" i="1"/>
  <c r="AN370" i="1"/>
  <c r="AN364" i="1"/>
  <c r="AM406" i="1"/>
  <c r="AM418" i="1"/>
  <c r="AM412" i="1"/>
  <c r="AM394" i="1"/>
  <c r="AM388" i="1"/>
  <c r="AM382" i="1"/>
  <c r="AM376" i="1"/>
  <c r="AM370" i="1"/>
  <c r="AM364" i="1"/>
  <c r="F257" i="3"/>
  <c r="G257" i="3"/>
  <c r="F354" i="3"/>
  <c r="G354" i="3"/>
  <c r="F256" i="1"/>
  <c r="G256" i="1"/>
  <c r="G353" i="1"/>
  <c r="F353" i="1"/>
  <c r="Q494" i="1"/>
  <c r="R494" i="1"/>
  <c r="C59" i="4"/>
  <c r="C47" i="4"/>
  <c r="D34" i="2"/>
  <c r="N524" i="3"/>
  <c r="M524" i="3"/>
  <c r="N518" i="3"/>
  <c r="M518" i="3"/>
  <c r="N512" i="3"/>
  <c r="M512" i="3"/>
  <c r="N506" i="3"/>
  <c r="M506" i="3"/>
  <c r="N500" i="3"/>
  <c r="M500" i="3"/>
  <c r="N494" i="3"/>
  <c r="M494" i="3"/>
  <c r="P524" i="3"/>
  <c r="O524" i="3"/>
  <c r="P518" i="3"/>
  <c r="O518" i="3"/>
  <c r="P512" i="3"/>
  <c r="O512" i="3"/>
  <c r="P506" i="3"/>
  <c r="O506" i="3"/>
  <c r="P500" i="3"/>
  <c r="O500" i="3"/>
  <c r="P494" i="3"/>
  <c r="O494" i="3"/>
  <c r="P482" i="3"/>
  <c r="O482" i="3"/>
  <c r="N482" i="3"/>
  <c r="M482" i="3"/>
  <c r="P476" i="3"/>
  <c r="O476" i="3"/>
  <c r="N476" i="3"/>
  <c r="M476" i="3"/>
  <c r="P470" i="3"/>
  <c r="O470" i="3"/>
  <c r="N470" i="3"/>
  <c r="M470" i="3"/>
  <c r="N464" i="3"/>
  <c r="M464" i="3"/>
  <c r="N458" i="3"/>
  <c r="M458" i="3"/>
  <c r="N452" i="3"/>
  <c r="M452" i="3"/>
  <c r="P524" i="1"/>
  <c r="O524" i="1"/>
  <c r="N524" i="1"/>
  <c r="M524" i="1"/>
  <c r="P518" i="1"/>
  <c r="N518" i="1"/>
  <c r="M518" i="1"/>
  <c r="P512" i="1"/>
  <c r="O512" i="1"/>
  <c r="N512" i="1"/>
  <c r="M512" i="1"/>
  <c r="P506" i="1"/>
  <c r="O506" i="1"/>
  <c r="N506" i="1"/>
  <c r="M506" i="1"/>
  <c r="P500" i="1"/>
  <c r="O500" i="1"/>
  <c r="N500" i="1"/>
  <c r="M500" i="1"/>
  <c r="P494" i="1"/>
  <c r="O494" i="1"/>
  <c r="N494" i="1"/>
  <c r="M494" i="1"/>
  <c r="M458" i="1"/>
  <c r="N458" i="1"/>
  <c r="P482" i="1"/>
  <c r="O482" i="1"/>
  <c r="N482" i="1"/>
  <c r="M482" i="1"/>
  <c r="P476" i="1"/>
  <c r="O476" i="1"/>
  <c r="N476" i="1"/>
  <c r="M476" i="1"/>
  <c r="P470" i="1"/>
  <c r="O470" i="1"/>
  <c r="N470" i="1"/>
  <c r="M470" i="1"/>
  <c r="P464" i="1"/>
  <c r="O464" i="1"/>
  <c r="N464" i="1"/>
  <c r="M464" i="1"/>
  <c r="P458" i="1"/>
  <c r="O458" i="1"/>
  <c r="P452" i="1"/>
  <c r="O452" i="1"/>
  <c r="N452" i="1"/>
  <c r="M452" i="1"/>
  <c r="E57" i="4"/>
  <c r="E59" i="4"/>
  <c r="E58" i="4"/>
  <c r="F59" i="4" s="1"/>
  <c r="C57" i="4"/>
  <c r="D57" i="4"/>
  <c r="C60" i="4"/>
  <c r="D60" i="4"/>
  <c r="E60" i="4"/>
  <c r="F51" i="4"/>
  <c r="H524" i="2"/>
  <c r="E26" i="4"/>
  <c r="G524" i="2"/>
  <c r="F524" i="2"/>
  <c r="E524" i="2"/>
  <c r="H518" i="2"/>
  <c r="G518" i="2"/>
  <c r="F518" i="2"/>
  <c r="E518" i="2"/>
  <c r="H512" i="2"/>
  <c r="G512" i="2"/>
  <c r="F512" i="2"/>
  <c r="E512" i="2"/>
  <c r="H506" i="2"/>
  <c r="G506" i="2"/>
  <c r="F506" i="2"/>
  <c r="E506" i="2"/>
  <c r="H500" i="2"/>
  <c r="G500" i="2"/>
  <c r="F500" i="2"/>
  <c r="E500" i="2"/>
  <c r="H494" i="2"/>
  <c r="G494" i="2"/>
  <c r="F494" i="2"/>
  <c r="E494" i="2"/>
  <c r="H482" i="2"/>
  <c r="G482" i="2"/>
  <c r="F482" i="2"/>
  <c r="E482" i="2"/>
  <c r="H476" i="2"/>
  <c r="G476" i="2"/>
  <c r="F476" i="2"/>
  <c r="E476" i="2"/>
  <c r="H470" i="2"/>
  <c r="G470" i="2"/>
  <c r="F470" i="2"/>
  <c r="E470" i="2"/>
  <c r="H464" i="2"/>
  <c r="G464" i="2"/>
  <c r="F464" i="2"/>
  <c r="E464" i="2"/>
  <c r="H458" i="2"/>
  <c r="G458" i="2"/>
  <c r="F458" i="2"/>
  <c r="E458" i="2"/>
  <c r="H452" i="2"/>
  <c r="G452" i="2"/>
  <c r="F452" i="2"/>
  <c r="E452" i="2"/>
  <c r="L524" i="2"/>
  <c r="K524" i="2"/>
  <c r="J524" i="2"/>
  <c r="I524" i="2"/>
  <c r="L518" i="2"/>
  <c r="K518" i="2"/>
  <c r="J518" i="2"/>
  <c r="I518" i="2"/>
  <c r="L512" i="2"/>
  <c r="K512" i="2"/>
  <c r="J512" i="2"/>
  <c r="I512" i="2"/>
  <c r="L506" i="2"/>
  <c r="K506" i="2"/>
  <c r="J506" i="2"/>
  <c r="I506" i="2"/>
  <c r="L500" i="2"/>
  <c r="K500" i="2"/>
  <c r="J500" i="2"/>
  <c r="I500" i="2"/>
  <c r="K494" i="2"/>
  <c r="J494" i="2"/>
  <c r="I494" i="2"/>
  <c r="L482" i="2"/>
  <c r="K482" i="2"/>
  <c r="J482" i="2"/>
  <c r="I482" i="2"/>
  <c r="L476" i="2"/>
  <c r="K476" i="2"/>
  <c r="J476" i="2"/>
  <c r="I476" i="2"/>
  <c r="L470" i="2"/>
  <c r="K470" i="2"/>
  <c r="J470" i="2"/>
  <c r="I470" i="2"/>
  <c r="L464" i="2"/>
  <c r="K464" i="2"/>
  <c r="J464" i="2"/>
  <c r="I464" i="2"/>
  <c r="K458" i="2"/>
  <c r="J458" i="2"/>
  <c r="I458" i="2"/>
  <c r="L452" i="2"/>
  <c r="K452" i="2"/>
  <c r="J452" i="2"/>
  <c r="I452" i="2"/>
  <c r="M424" i="2"/>
  <c r="H406" i="2"/>
  <c r="I406" i="2"/>
  <c r="J406" i="2"/>
  <c r="K406" i="2"/>
  <c r="L40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L424" i="2"/>
  <c r="K424" i="2"/>
  <c r="J424" i="2"/>
  <c r="I424" i="2"/>
  <c r="H424" i="2"/>
  <c r="G424" i="2"/>
  <c r="F424" i="2"/>
  <c r="E424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G406" i="2"/>
  <c r="F406" i="2"/>
  <c r="E406" i="2"/>
  <c r="AG395" i="2"/>
  <c r="O389" i="2"/>
  <c r="N389" i="2"/>
  <c r="K389" i="2"/>
  <c r="I389" i="2"/>
  <c r="L377" i="2"/>
  <c r="J377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I377" i="2"/>
  <c r="K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J389" i="2"/>
  <c r="L389" i="2"/>
  <c r="M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H395" i="2"/>
  <c r="AI395" i="2"/>
  <c r="AJ395" i="2"/>
  <c r="E383" i="2"/>
  <c r="F383" i="2"/>
  <c r="G383" i="2"/>
  <c r="H383" i="2"/>
  <c r="E389" i="2"/>
  <c r="F389" i="2"/>
  <c r="G389" i="2"/>
  <c r="H389" i="2"/>
  <c r="E395" i="2"/>
  <c r="F395" i="2"/>
  <c r="G395" i="2"/>
  <c r="H395" i="2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AJ11" i="5"/>
  <c r="AJ42" i="5" s="1"/>
  <c r="AI11" i="5"/>
  <c r="AI42" i="5" s="1"/>
  <c r="AH11" i="5"/>
  <c r="AH42" i="5" s="1"/>
  <c r="AG11" i="5"/>
  <c r="AG42" i="5" s="1"/>
  <c r="AF11" i="5"/>
  <c r="AF42" i="5" s="1"/>
  <c r="AE11" i="5"/>
  <c r="AE42" i="5" s="1"/>
  <c r="AD11" i="5"/>
  <c r="AD42" i="5" s="1"/>
  <c r="AC11" i="5"/>
  <c r="AC42" i="5" s="1"/>
  <c r="AB11" i="5"/>
  <c r="AB42" i="5" s="1"/>
  <c r="AA11" i="5"/>
  <c r="AA42" i="5" s="1"/>
  <c r="Z11" i="5"/>
  <c r="Z42" i="5" s="1"/>
  <c r="Y11" i="5"/>
  <c r="Y42" i="5" s="1"/>
  <c r="X11" i="5"/>
  <c r="X42" i="5" s="1"/>
  <c r="W11" i="5"/>
  <c r="W42" i="5" s="1"/>
  <c r="V11" i="5"/>
  <c r="V42" i="5" s="1"/>
  <c r="U11" i="5"/>
  <c r="U42" i="5" s="1"/>
  <c r="T11" i="5"/>
  <c r="T42" i="5" s="1"/>
  <c r="S11" i="5"/>
  <c r="S42" i="5" s="1"/>
  <c r="R11" i="5"/>
  <c r="R42" i="5" s="1"/>
  <c r="Q11" i="5"/>
  <c r="Q42" i="5" s="1"/>
  <c r="P11" i="5"/>
  <c r="P42" i="5" s="1"/>
  <c r="O11" i="5"/>
  <c r="O42" i="5" s="1"/>
  <c r="N11" i="5"/>
  <c r="N42" i="5" s="1"/>
  <c r="M11" i="5"/>
  <c r="M42" i="5" s="1"/>
  <c r="L11" i="5"/>
  <c r="L42" i="5" s="1"/>
  <c r="K11" i="5"/>
  <c r="K42" i="5" s="1"/>
  <c r="J11" i="5"/>
  <c r="J42" i="5" s="1"/>
  <c r="I11" i="5"/>
  <c r="I42" i="5" s="1"/>
  <c r="H11" i="5"/>
  <c r="G11" i="5"/>
  <c r="F11" i="5"/>
  <c r="E11" i="5"/>
  <c r="H377" i="2"/>
  <c r="G377" i="2"/>
  <c r="F377" i="2"/>
  <c r="E377" i="2"/>
  <c r="H371" i="2"/>
  <c r="G371" i="2"/>
  <c r="F371" i="2"/>
  <c r="E371" i="2"/>
  <c r="H365" i="2"/>
  <c r="G365" i="2"/>
  <c r="F365" i="2"/>
  <c r="E365" i="2"/>
  <c r="E55" i="4"/>
  <c r="E54" i="4"/>
  <c r="E53" i="4"/>
  <c r="D56" i="4"/>
  <c r="C56" i="4"/>
  <c r="E56" i="4" s="1"/>
  <c r="C55" i="4"/>
  <c r="D53" i="4"/>
  <c r="C53" i="4"/>
  <c r="E51" i="4"/>
  <c r="E50" i="4"/>
  <c r="E49" i="4"/>
  <c r="E47" i="4"/>
  <c r="E46" i="4"/>
  <c r="E45" i="4"/>
  <c r="C51" i="4"/>
  <c r="D49" i="4"/>
  <c r="C49" i="4"/>
  <c r="U46" i="4"/>
  <c r="U47" i="4"/>
  <c r="U48" i="4"/>
  <c r="U45" i="4"/>
  <c r="D48" i="4"/>
  <c r="C48" i="4"/>
  <c r="E48" i="4" s="1"/>
  <c r="D45" i="4"/>
  <c r="C45" i="4"/>
  <c r="S34" i="4"/>
  <c r="S35" i="4" s="1"/>
  <c r="H34" i="4"/>
  <c r="L39" i="4"/>
  <c r="L38" i="4"/>
  <c r="L37" i="4"/>
  <c r="L36" i="4"/>
  <c r="L35" i="4"/>
  <c r="L34" i="4"/>
  <c r="K39" i="4"/>
  <c r="K38" i="4"/>
  <c r="K37" i="4"/>
  <c r="K36" i="4"/>
  <c r="K35" i="4"/>
  <c r="K34" i="4"/>
  <c r="G36" i="4"/>
  <c r="G35" i="4"/>
  <c r="G34" i="4"/>
  <c r="D39" i="4"/>
  <c r="D38" i="4"/>
  <c r="D37" i="4"/>
  <c r="C39" i="4"/>
  <c r="C38" i="4"/>
  <c r="C37" i="4"/>
  <c r="D36" i="4"/>
  <c r="D35" i="4"/>
  <c r="C36" i="4"/>
  <c r="C35" i="4"/>
  <c r="C34" i="4"/>
  <c r="D34" i="4"/>
  <c r="G28" i="4"/>
  <c r="F28" i="4"/>
  <c r="E28" i="4"/>
  <c r="D28" i="4"/>
  <c r="G27" i="4"/>
  <c r="E27" i="4"/>
  <c r="D27" i="4"/>
  <c r="G26" i="4"/>
  <c r="F26" i="4"/>
  <c r="D26" i="4"/>
  <c r="G25" i="4"/>
  <c r="F25" i="4"/>
  <c r="E25" i="4"/>
  <c r="G24" i="4"/>
  <c r="F24" i="4"/>
  <c r="E24" i="4"/>
  <c r="G23" i="4"/>
  <c r="F23" i="4"/>
  <c r="E23" i="4"/>
  <c r="D25" i="4"/>
  <c r="D24" i="4"/>
  <c r="D23" i="4"/>
  <c r="D17" i="4"/>
  <c r="E17" i="4"/>
  <c r="F17" i="4"/>
  <c r="G17" i="4"/>
  <c r="C17" i="4"/>
  <c r="D16" i="4"/>
  <c r="E16" i="4"/>
  <c r="F16" i="4"/>
  <c r="G16" i="4"/>
  <c r="C16" i="4"/>
  <c r="D11" i="4"/>
  <c r="E11" i="4"/>
  <c r="F11" i="4"/>
  <c r="G11" i="4"/>
  <c r="C11" i="4"/>
  <c r="D10" i="4"/>
  <c r="E10" i="4"/>
  <c r="F10" i="4"/>
  <c r="G10" i="4"/>
  <c r="C10" i="4"/>
  <c r="L482" i="3"/>
  <c r="K482" i="3"/>
  <c r="L476" i="3"/>
  <c r="K476" i="3"/>
  <c r="L470" i="3"/>
  <c r="K470" i="3"/>
  <c r="L464" i="3"/>
  <c r="K464" i="3"/>
  <c r="L458" i="3"/>
  <c r="K458" i="3"/>
  <c r="L452" i="3"/>
  <c r="K452" i="3"/>
  <c r="L524" i="3"/>
  <c r="K524" i="3"/>
  <c r="L518" i="3"/>
  <c r="K518" i="3"/>
  <c r="L512" i="3"/>
  <c r="K512" i="3"/>
  <c r="L506" i="3"/>
  <c r="K506" i="3"/>
  <c r="L500" i="3"/>
  <c r="K500" i="3"/>
  <c r="L494" i="3"/>
  <c r="K494" i="3"/>
  <c r="L524" i="1"/>
  <c r="K524" i="1"/>
  <c r="L518" i="1"/>
  <c r="K518" i="1"/>
  <c r="L512" i="1"/>
  <c r="K512" i="1"/>
  <c r="L506" i="1"/>
  <c r="K506" i="1"/>
  <c r="L500" i="1"/>
  <c r="K500" i="1"/>
  <c r="L494" i="1"/>
  <c r="K494" i="1"/>
  <c r="L482" i="1"/>
  <c r="K482" i="1"/>
  <c r="L476" i="1"/>
  <c r="K476" i="1"/>
  <c r="L470" i="1"/>
  <c r="K470" i="1"/>
  <c r="L464" i="1"/>
  <c r="K464" i="1"/>
  <c r="L458" i="1"/>
  <c r="K458" i="1"/>
  <c r="L452" i="1"/>
  <c r="K452" i="1"/>
  <c r="G237" i="2"/>
  <c r="R149" i="2"/>
  <c r="Q149" i="2"/>
  <c r="P149" i="2"/>
  <c r="O149" i="2"/>
  <c r="S334" i="2"/>
  <c r="S351" i="2" s="1"/>
  <c r="R334" i="2"/>
  <c r="R351" i="2" s="1"/>
  <c r="Q334" i="2"/>
  <c r="Q351" i="2" s="1"/>
  <c r="P334" i="2"/>
  <c r="P351" i="2" s="1"/>
  <c r="M334" i="2"/>
  <c r="M351" i="2" s="1"/>
  <c r="L334" i="2"/>
  <c r="L351" i="2" s="1"/>
  <c r="K334" i="2"/>
  <c r="K351" i="2" s="1"/>
  <c r="J334" i="2"/>
  <c r="J351" i="2" s="1"/>
  <c r="G334" i="2"/>
  <c r="G351" i="2" s="1"/>
  <c r="F334" i="2"/>
  <c r="F351" i="2" s="1"/>
  <c r="E334" i="2"/>
  <c r="E351" i="2" s="1"/>
  <c r="D334" i="2"/>
  <c r="D351" i="2" s="1"/>
  <c r="S328" i="2"/>
  <c r="S350" i="2" s="1"/>
  <c r="R328" i="2"/>
  <c r="R350" i="2" s="1"/>
  <c r="Q328" i="2"/>
  <c r="Q350" i="2" s="1"/>
  <c r="P328" i="2"/>
  <c r="P350" i="2" s="1"/>
  <c r="M328" i="2"/>
  <c r="M350" i="2" s="1"/>
  <c r="L328" i="2"/>
  <c r="L350" i="2" s="1"/>
  <c r="K328" i="2"/>
  <c r="K350" i="2" s="1"/>
  <c r="J328" i="2"/>
  <c r="J350" i="2" s="1"/>
  <c r="G328" i="2"/>
  <c r="G350" i="2" s="1"/>
  <c r="F328" i="2"/>
  <c r="F350" i="2" s="1"/>
  <c r="E328" i="2"/>
  <c r="E350" i="2" s="1"/>
  <c r="D328" i="2"/>
  <c r="D350" i="2" s="1"/>
  <c r="S322" i="2"/>
  <c r="S349" i="2" s="1"/>
  <c r="R322" i="2"/>
  <c r="R349" i="2" s="1"/>
  <c r="Q322" i="2"/>
  <c r="Q349" i="2" s="1"/>
  <c r="P322" i="2"/>
  <c r="P349" i="2" s="1"/>
  <c r="M322" i="2"/>
  <c r="M349" i="2" s="1"/>
  <c r="L322" i="2"/>
  <c r="L349" i="2" s="1"/>
  <c r="K322" i="2"/>
  <c r="K349" i="2" s="1"/>
  <c r="J322" i="2"/>
  <c r="J349" i="2" s="1"/>
  <c r="G322" i="2"/>
  <c r="G349" i="2" s="1"/>
  <c r="F322" i="2"/>
  <c r="F349" i="2" s="1"/>
  <c r="E322" i="2"/>
  <c r="E349" i="2" s="1"/>
  <c r="D322" i="2"/>
  <c r="D349" i="2" s="1"/>
  <c r="S316" i="2"/>
  <c r="S348" i="2" s="1"/>
  <c r="R316" i="2"/>
  <c r="R348" i="2" s="1"/>
  <c r="Q316" i="2"/>
  <c r="Q348" i="2" s="1"/>
  <c r="P316" i="2"/>
  <c r="P348" i="2" s="1"/>
  <c r="M316" i="2"/>
  <c r="M348" i="2" s="1"/>
  <c r="L316" i="2"/>
  <c r="L348" i="2" s="1"/>
  <c r="K316" i="2"/>
  <c r="K348" i="2" s="1"/>
  <c r="J316" i="2"/>
  <c r="J348" i="2" s="1"/>
  <c r="G316" i="2"/>
  <c r="G348" i="2" s="1"/>
  <c r="F316" i="2"/>
  <c r="F348" i="2" s="1"/>
  <c r="E316" i="2"/>
  <c r="E348" i="2" s="1"/>
  <c r="D316" i="2"/>
  <c r="D348" i="2" s="1"/>
  <c r="S310" i="2"/>
  <c r="S347" i="2" s="1"/>
  <c r="R310" i="2"/>
  <c r="R347" i="2" s="1"/>
  <c r="Q310" i="2"/>
  <c r="Q347" i="2" s="1"/>
  <c r="P310" i="2"/>
  <c r="P347" i="2" s="1"/>
  <c r="M310" i="2"/>
  <c r="M347" i="2" s="1"/>
  <c r="L310" i="2"/>
  <c r="L347" i="2" s="1"/>
  <c r="K310" i="2"/>
  <c r="K347" i="2" s="1"/>
  <c r="J310" i="2"/>
  <c r="J347" i="2" s="1"/>
  <c r="G310" i="2"/>
  <c r="G347" i="2" s="1"/>
  <c r="F310" i="2"/>
  <c r="F347" i="2" s="1"/>
  <c r="E310" i="2"/>
  <c r="E347" i="2" s="1"/>
  <c r="D310" i="2"/>
  <c r="D347" i="2" s="1"/>
  <c r="S304" i="2"/>
  <c r="S346" i="2" s="1"/>
  <c r="R304" i="2"/>
  <c r="R346" i="2" s="1"/>
  <c r="Q304" i="2"/>
  <c r="Q346" i="2" s="1"/>
  <c r="P304" i="2"/>
  <c r="P346" i="2" s="1"/>
  <c r="M304" i="2"/>
  <c r="M346" i="2" s="1"/>
  <c r="L304" i="2"/>
  <c r="L346" i="2" s="1"/>
  <c r="K304" i="2"/>
  <c r="K346" i="2" s="1"/>
  <c r="J304" i="2"/>
  <c r="J346" i="2" s="1"/>
  <c r="G304" i="2"/>
  <c r="G346" i="2" s="1"/>
  <c r="F304" i="2"/>
  <c r="F346" i="2" s="1"/>
  <c r="G353" i="2" s="1"/>
  <c r="E304" i="2"/>
  <c r="E346" i="2" s="1"/>
  <c r="D304" i="2"/>
  <c r="D346" i="2" s="1"/>
  <c r="S294" i="2"/>
  <c r="S345" i="2" s="1"/>
  <c r="R294" i="2"/>
  <c r="R345" i="2" s="1"/>
  <c r="Q294" i="2"/>
  <c r="Q345" i="2" s="1"/>
  <c r="P294" i="2"/>
  <c r="P345" i="2" s="1"/>
  <c r="M294" i="2"/>
  <c r="M345" i="2" s="1"/>
  <c r="L294" i="2"/>
  <c r="L345" i="2" s="1"/>
  <c r="K294" i="2"/>
  <c r="K345" i="2" s="1"/>
  <c r="J294" i="2"/>
  <c r="J345" i="2" s="1"/>
  <c r="G294" i="2"/>
  <c r="G345" i="2" s="1"/>
  <c r="F294" i="2"/>
  <c r="F345" i="2" s="1"/>
  <c r="E294" i="2"/>
  <c r="E345" i="2" s="1"/>
  <c r="D294" i="2"/>
  <c r="D345" i="2" s="1"/>
  <c r="S288" i="2"/>
  <c r="S344" i="2" s="1"/>
  <c r="R288" i="2"/>
  <c r="R344" i="2" s="1"/>
  <c r="Q288" i="2"/>
  <c r="Q344" i="2" s="1"/>
  <c r="P288" i="2"/>
  <c r="P344" i="2" s="1"/>
  <c r="M288" i="2"/>
  <c r="M344" i="2" s="1"/>
  <c r="L288" i="2"/>
  <c r="L344" i="2" s="1"/>
  <c r="K288" i="2"/>
  <c r="K344" i="2" s="1"/>
  <c r="J288" i="2"/>
  <c r="J344" i="2" s="1"/>
  <c r="G288" i="2"/>
  <c r="G344" i="2" s="1"/>
  <c r="F288" i="2"/>
  <c r="F344" i="2" s="1"/>
  <c r="E288" i="2"/>
  <c r="E344" i="2" s="1"/>
  <c r="D288" i="2"/>
  <c r="D344" i="2" s="1"/>
  <c r="S282" i="2"/>
  <c r="S343" i="2" s="1"/>
  <c r="R282" i="2"/>
  <c r="R343" i="2" s="1"/>
  <c r="Q282" i="2"/>
  <c r="Q343" i="2" s="1"/>
  <c r="P282" i="2"/>
  <c r="P343" i="2" s="1"/>
  <c r="M282" i="2"/>
  <c r="M343" i="2" s="1"/>
  <c r="L282" i="2"/>
  <c r="L343" i="2" s="1"/>
  <c r="K282" i="2"/>
  <c r="K343" i="2" s="1"/>
  <c r="J282" i="2"/>
  <c r="J343" i="2" s="1"/>
  <c r="G282" i="2"/>
  <c r="G343" i="2" s="1"/>
  <c r="F282" i="2"/>
  <c r="F343" i="2" s="1"/>
  <c r="E282" i="2"/>
  <c r="E343" i="2" s="1"/>
  <c r="D282" i="2"/>
  <c r="D343" i="2" s="1"/>
  <c r="S276" i="2"/>
  <c r="S342" i="2" s="1"/>
  <c r="R276" i="2"/>
  <c r="R342" i="2" s="1"/>
  <c r="Q276" i="2"/>
  <c r="Q342" i="2" s="1"/>
  <c r="P276" i="2"/>
  <c r="P342" i="2" s="1"/>
  <c r="M276" i="2"/>
  <c r="M342" i="2" s="1"/>
  <c r="L276" i="2"/>
  <c r="L342" i="2" s="1"/>
  <c r="K276" i="2"/>
  <c r="K342" i="2" s="1"/>
  <c r="J276" i="2"/>
  <c r="J342" i="2" s="1"/>
  <c r="G276" i="2"/>
  <c r="G342" i="2" s="1"/>
  <c r="F276" i="2"/>
  <c r="F342" i="2" s="1"/>
  <c r="E276" i="2"/>
  <c r="E342" i="2" s="1"/>
  <c r="D276" i="2"/>
  <c r="D342" i="2" s="1"/>
  <c r="S270" i="2"/>
  <c r="S341" i="2" s="1"/>
  <c r="R270" i="2"/>
  <c r="R341" i="2" s="1"/>
  <c r="Q270" i="2"/>
  <c r="Q341" i="2" s="1"/>
  <c r="P270" i="2"/>
  <c r="P341" i="2" s="1"/>
  <c r="M270" i="2"/>
  <c r="M341" i="2" s="1"/>
  <c r="L270" i="2"/>
  <c r="L341" i="2" s="1"/>
  <c r="K270" i="2"/>
  <c r="K341" i="2" s="1"/>
  <c r="J270" i="2"/>
  <c r="J341" i="2" s="1"/>
  <c r="G270" i="2"/>
  <c r="G341" i="2" s="1"/>
  <c r="F270" i="2"/>
  <c r="F341" i="2" s="1"/>
  <c r="E270" i="2"/>
  <c r="E341" i="2" s="1"/>
  <c r="D270" i="2"/>
  <c r="D341" i="2" s="1"/>
  <c r="S264" i="2"/>
  <c r="S340" i="2" s="1"/>
  <c r="R264" i="2"/>
  <c r="R340" i="2" s="1"/>
  <c r="Q264" i="2"/>
  <c r="Q340" i="2" s="1"/>
  <c r="P264" i="2"/>
  <c r="P340" i="2" s="1"/>
  <c r="M264" i="2"/>
  <c r="M340" i="2" s="1"/>
  <c r="L264" i="2"/>
  <c r="L340" i="2" s="1"/>
  <c r="K264" i="2"/>
  <c r="K340" i="2" s="1"/>
  <c r="J264" i="2"/>
  <c r="J340" i="2" s="1"/>
  <c r="G264" i="2"/>
  <c r="G340" i="2" s="1"/>
  <c r="F264" i="2"/>
  <c r="F340" i="2" s="1"/>
  <c r="F353" i="2" s="1"/>
  <c r="E264" i="2"/>
  <c r="E340" i="2" s="1"/>
  <c r="D264" i="2"/>
  <c r="D340" i="2" s="1"/>
  <c r="R156" i="2"/>
  <c r="Q156" i="2"/>
  <c r="P156" i="2"/>
  <c r="O156" i="2"/>
  <c r="R140" i="2"/>
  <c r="Q140" i="2"/>
  <c r="P140" i="2"/>
  <c r="O140" i="2"/>
  <c r="D167" i="2"/>
  <c r="E167" i="2"/>
  <c r="F167" i="2"/>
  <c r="G167" i="2"/>
  <c r="R132" i="2"/>
  <c r="Q132" i="2"/>
  <c r="P132" i="2"/>
  <c r="O132" i="2"/>
  <c r="M207" i="1"/>
  <c r="M244" i="1"/>
  <c r="S237" i="2"/>
  <c r="S254" i="2" s="1"/>
  <c r="R237" i="2"/>
  <c r="R254" i="2" s="1"/>
  <c r="Q237" i="2"/>
  <c r="Q254" i="2" s="1"/>
  <c r="P237" i="2"/>
  <c r="P254" i="2" s="1"/>
  <c r="M237" i="2"/>
  <c r="M254" i="2" s="1"/>
  <c r="L237" i="2"/>
  <c r="L254" i="2" s="1"/>
  <c r="K237" i="2"/>
  <c r="K254" i="2" s="1"/>
  <c r="J237" i="2"/>
  <c r="J254" i="2" s="1"/>
  <c r="G254" i="2"/>
  <c r="F237" i="2"/>
  <c r="F254" i="2" s="1"/>
  <c r="E237" i="2"/>
  <c r="E254" i="2" s="1"/>
  <c r="D237" i="2"/>
  <c r="D254" i="2" s="1"/>
  <c r="S231" i="2"/>
  <c r="S253" i="2" s="1"/>
  <c r="R231" i="2"/>
  <c r="R253" i="2" s="1"/>
  <c r="Q231" i="2"/>
  <c r="Q253" i="2" s="1"/>
  <c r="P231" i="2"/>
  <c r="P253" i="2" s="1"/>
  <c r="M231" i="2"/>
  <c r="M253" i="2" s="1"/>
  <c r="L231" i="2"/>
  <c r="L253" i="2" s="1"/>
  <c r="K231" i="2"/>
  <c r="K253" i="2" s="1"/>
  <c r="J231" i="2"/>
  <c r="J253" i="2" s="1"/>
  <c r="G231" i="2"/>
  <c r="G253" i="2" s="1"/>
  <c r="F231" i="2"/>
  <c r="F253" i="2" s="1"/>
  <c r="E231" i="2"/>
  <c r="E253" i="2" s="1"/>
  <c r="D231" i="2"/>
  <c r="D253" i="2" s="1"/>
  <c r="S225" i="2"/>
  <c r="S252" i="2" s="1"/>
  <c r="R225" i="2"/>
  <c r="R252" i="2" s="1"/>
  <c r="Q225" i="2"/>
  <c r="Q252" i="2" s="1"/>
  <c r="P225" i="2"/>
  <c r="P252" i="2" s="1"/>
  <c r="M225" i="2"/>
  <c r="M252" i="2" s="1"/>
  <c r="L225" i="2"/>
  <c r="L252" i="2" s="1"/>
  <c r="K225" i="2"/>
  <c r="K252" i="2" s="1"/>
  <c r="J225" i="2"/>
  <c r="J252" i="2" s="1"/>
  <c r="G225" i="2"/>
  <c r="G252" i="2" s="1"/>
  <c r="F225" i="2"/>
  <c r="F252" i="2" s="1"/>
  <c r="E225" i="2"/>
  <c r="E252" i="2" s="1"/>
  <c r="D225" i="2"/>
  <c r="D252" i="2" s="1"/>
  <c r="S219" i="2"/>
  <c r="S251" i="2" s="1"/>
  <c r="R219" i="2"/>
  <c r="R251" i="2" s="1"/>
  <c r="Q219" i="2"/>
  <c r="Q251" i="2" s="1"/>
  <c r="P219" i="2"/>
  <c r="P251" i="2" s="1"/>
  <c r="M219" i="2"/>
  <c r="M251" i="2" s="1"/>
  <c r="L219" i="2"/>
  <c r="L251" i="2" s="1"/>
  <c r="K219" i="2"/>
  <c r="K251" i="2" s="1"/>
  <c r="J219" i="2"/>
  <c r="J251" i="2" s="1"/>
  <c r="G219" i="2"/>
  <c r="G251" i="2" s="1"/>
  <c r="F219" i="2"/>
  <c r="F251" i="2" s="1"/>
  <c r="E219" i="2"/>
  <c r="E251" i="2" s="1"/>
  <c r="D219" i="2"/>
  <c r="D251" i="2" s="1"/>
  <c r="S213" i="2"/>
  <c r="S250" i="2" s="1"/>
  <c r="R213" i="2"/>
  <c r="R250" i="2" s="1"/>
  <c r="Q213" i="2"/>
  <c r="Q250" i="2" s="1"/>
  <c r="P213" i="2"/>
  <c r="P250" i="2" s="1"/>
  <c r="M213" i="2"/>
  <c r="M250" i="2" s="1"/>
  <c r="L213" i="2"/>
  <c r="L250" i="2" s="1"/>
  <c r="K213" i="2"/>
  <c r="K250" i="2" s="1"/>
  <c r="J213" i="2"/>
  <c r="J250" i="2" s="1"/>
  <c r="G213" i="2"/>
  <c r="G250" i="2" s="1"/>
  <c r="F213" i="2"/>
  <c r="F250" i="2" s="1"/>
  <c r="E213" i="2"/>
  <c r="E250" i="2" s="1"/>
  <c r="D213" i="2"/>
  <c r="D250" i="2" s="1"/>
  <c r="S207" i="2"/>
  <c r="S249" i="2" s="1"/>
  <c r="R207" i="2"/>
  <c r="R249" i="2" s="1"/>
  <c r="Q207" i="2"/>
  <c r="Q249" i="2" s="1"/>
  <c r="P207" i="2"/>
  <c r="P249" i="2" s="1"/>
  <c r="M207" i="2"/>
  <c r="M249" i="2" s="1"/>
  <c r="L207" i="2"/>
  <c r="L249" i="2" s="1"/>
  <c r="K207" i="2"/>
  <c r="K249" i="2" s="1"/>
  <c r="J207" i="2"/>
  <c r="J249" i="2" s="1"/>
  <c r="G207" i="2"/>
  <c r="G249" i="2" s="1"/>
  <c r="F207" i="2"/>
  <c r="F249" i="2" s="1"/>
  <c r="G256" i="2" s="1"/>
  <c r="E207" i="2"/>
  <c r="E249" i="2" s="1"/>
  <c r="D207" i="2"/>
  <c r="D249" i="2" s="1"/>
  <c r="S197" i="2"/>
  <c r="S248" i="2" s="1"/>
  <c r="R197" i="2"/>
  <c r="R248" i="2" s="1"/>
  <c r="Q197" i="2"/>
  <c r="Q248" i="2" s="1"/>
  <c r="P197" i="2"/>
  <c r="P248" i="2" s="1"/>
  <c r="M197" i="2"/>
  <c r="M248" i="2" s="1"/>
  <c r="L197" i="2"/>
  <c r="L248" i="2" s="1"/>
  <c r="K197" i="2"/>
  <c r="K248" i="2" s="1"/>
  <c r="J197" i="2"/>
  <c r="J248" i="2" s="1"/>
  <c r="G197" i="2"/>
  <c r="G248" i="2" s="1"/>
  <c r="F197" i="2"/>
  <c r="F248" i="2" s="1"/>
  <c r="E197" i="2"/>
  <c r="E248" i="2" s="1"/>
  <c r="D197" i="2"/>
  <c r="D248" i="2" s="1"/>
  <c r="S191" i="2"/>
  <c r="S247" i="2" s="1"/>
  <c r="R191" i="2"/>
  <c r="R247" i="2" s="1"/>
  <c r="Q191" i="2"/>
  <c r="Q247" i="2" s="1"/>
  <c r="P191" i="2"/>
  <c r="P247" i="2" s="1"/>
  <c r="M191" i="2"/>
  <c r="M247" i="2" s="1"/>
  <c r="L191" i="2"/>
  <c r="L247" i="2" s="1"/>
  <c r="K191" i="2"/>
  <c r="K247" i="2" s="1"/>
  <c r="J191" i="2"/>
  <c r="J247" i="2" s="1"/>
  <c r="G191" i="2"/>
  <c r="G247" i="2" s="1"/>
  <c r="F191" i="2"/>
  <c r="F247" i="2" s="1"/>
  <c r="E191" i="2"/>
  <c r="E247" i="2" s="1"/>
  <c r="D191" i="2"/>
  <c r="D247" i="2" s="1"/>
  <c r="S185" i="2"/>
  <c r="S246" i="2" s="1"/>
  <c r="R185" i="2"/>
  <c r="R246" i="2" s="1"/>
  <c r="Q185" i="2"/>
  <c r="Q246" i="2" s="1"/>
  <c r="P185" i="2"/>
  <c r="P246" i="2" s="1"/>
  <c r="M185" i="2"/>
  <c r="M246" i="2" s="1"/>
  <c r="L185" i="2"/>
  <c r="L246" i="2" s="1"/>
  <c r="K185" i="2"/>
  <c r="K246" i="2" s="1"/>
  <c r="J185" i="2"/>
  <c r="J246" i="2" s="1"/>
  <c r="G185" i="2"/>
  <c r="G246" i="2" s="1"/>
  <c r="F185" i="2"/>
  <c r="F246" i="2" s="1"/>
  <c r="E185" i="2"/>
  <c r="E246" i="2" s="1"/>
  <c r="D185" i="2"/>
  <c r="D246" i="2" s="1"/>
  <c r="S179" i="2"/>
  <c r="S245" i="2" s="1"/>
  <c r="R179" i="2"/>
  <c r="R245" i="2" s="1"/>
  <c r="Q179" i="2"/>
  <c r="Q245" i="2" s="1"/>
  <c r="P179" i="2"/>
  <c r="P245" i="2" s="1"/>
  <c r="M179" i="2"/>
  <c r="M245" i="2" s="1"/>
  <c r="L179" i="2"/>
  <c r="L245" i="2" s="1"/>
  <c r="K179" i="2"/>
  <c r="K245" i="2" s="1"/>
  <c r="J179" i="2"/>
  <c r="J245" i="2" s="1"/>
  <c r="G179" i="2"/>
  <c r="G245" i="2" s="1"/>
  <c r="F179" i="2"/>
  <c r="F245" i="2" s="1"/>
  <c r="E179" i="2"/>
  <c r="E245" i="2" s="1"/>
  <c r="D179" i="2"/>
  <c r="D245" i="2" s="1"/>
  <c r="S173" i="2"/>
  <c r="S244" i="2" s="1"/>
  <c r="R173" i="2"/>
  <c r="R244" i="2" s="1"/>
  <c r="Q173" i="2"/>
  <c r="Q244" i="2" s="1"/>
  <c r="P173" i="2"/>
  <c r="P244" i="2" s="1"/>
  <c r="M173" i="2"/>
  <c r="M244" i="2" s="1"/>
  <c r="L173" i="2"/>
  <c r="L244" i="2" s="1"/>
  <c r="K173" i="2"/>
  <c r="K244" i="2" s="1"/>
  <c r="J173" i="2"/>
  <c r="J244" i="2" s="1"/>
  <c r="G173" i="2"/>
  <c r="G244" i="2" s="1"/>
  <c r="F173" i="2"/>
  <c r="F244" i="2" s="1"/>
  <c r="E173" i="2"/>
  <c r="E244" i="2" s="1"/>
  <c r="D173" i="2"/>
  <c r="D244" i="2" s="1"/>
  <c r="S167" i="2"/>
  <c r="S243" i="2" s="1"/>
  <c r="R167" i="2"/>
  <c r="R243" i="2" s="1"/>
  <c r="Q167" i="2"/>
  <c r="Q243" i="2" s="1"/>
  <c r="P167" i="2"/>
  <c r="P243" i="2" s="1"/>
  <c r="M167" i="2"/>
  <c r="M243" i="2" s="1"/>
  <c r="L167" i="2"/>
  <c r="L243" i="2" s="1"/>
  <c r="K167" i="2"/>
  <c r="K243" i="2" s="1"/>
  <c r="J167" i="2"/>
  <c r="J243" i="2" s="1"/>
  <c r="G243" i="2"/>
  <c r="F243" i="2"/>
  <c r="F256" i="2" s="1"/>
  <c r="E243" i="2"/>
  <c r="D243" i="2"/>
  <c r="C150" i="2"/>
  <c r="D150" i="2"/>
  <c r="G150" i="2"/>
  <c r="H150" i="2"/>
  <c r="K150" i="2"/>
  <c r="L150" i="2"/>
  <c r="C156" i="2"/>
  <c r="D156" i="2"/>
  <c r="G156" i="2"/>
  <c r="H156" i="2"/>
  <c r="K156" i="2"/>
  <c r="L156" i="2"/>
  <c r="C133" i="2"/>
  <c r="D133" i="2"/>
  <c r="G133" i="2"/>
  <c r="H133" i="2"/>
  <c r="K133" i="2"/>
  <c r="L133" i="2"/>
  <c r="C139" i="2"/>
  <c r="D139" i="2"/>
  <c r="G139" i="2"/>
  <c r="H139" i="2"/>
  <c r="K139" i="2"/>
  <c r="L139" i="2"/>
  <c r="H482" i="3"/>
  <c r="G482" i="3"/>
  <c r="F482" i="3"/>
  <c r="E482" i="3"/>
  <c r="H476" i="3"/>
  <c r="G476" i="3"/>
  <c r="F476" i="3"/>
  <c r="E476" i="3"/>
  <c r="H470" i="3"/>
  <c r="G470" i="3"/>
  <c r="F470" i="3"/>
  <c r="E470" i="3"/>
  <c r="H464" i="3"/>
  <c r="G464" i="3"/>
  <c r="F464" i="3"/>
  <c r="E464" i="3"/>
  <c r="H458" i="3"/>
  <c r="G458" i="3"/>
  <c r="F458" i="3"/>
  <c r="E458" i="3"/>
  <c r="H452" i="3"/>
  <c r="G452" i="3"/>
  <c r="F452" i="3"/>
  <c r="E452" i="3"/>
  <c r="H524" i="3"/>
  <c r="G524" i="3"/>
  <c r="F524" i="3"/>
  <c r="E524" i="3"/>
  <c r="H518" i="3"/>
  <c r="G518" i="3"/>
  <c r="F518" i="3"/>
  <c r="E518" i="3"/>
  <c r="H512" i="3"/>
  <c r="G512" i="3"/>
  <c r="F512" i="3"/>
  <c r="E512" i="3"/>
  <c r="H506" i="3"/>
  <c r="G506" i="3"/>
  <c r="F506" i="3"/>
  <c r="E506" i="3"/>
  <c r="H500" i="3"/>
  <c r="G500" i="3"/>
  <c r="F500" i="3"/>
  <c r="E500" i="3"/>
  <c r="H494" i="3"/>
  <c r="G494" i="3"/>
  <c r="F494" i="3"/>
  <c r="E494" i="3"/>
  <c r="H437" i="3"/>
  <c r="J524" i="3"/>
  <c r="I524" i="3"/>
  <c r="J518" i="3"/>
  <c r="I518" i="3"/>
  <c r="J512" i="3"/>
  <c r="I512" i="3"/>
  <c r="J506" i="3"/>
  <c r="I506" i="3"/>
  <c r="J500" i="3"/>
  <c r="I500" i="3"/>
  <c r="J494" i="3"/>
  <c r="I494" i="3"/>
  <c r="J482" i="3"/>
  <c r="I482" i="3"/>
  <c r="J476" i="3"/>
  <c r="I476" i="3"/>
  <c r="J470" i="3"/>
  <c r="I470" i="3"/>
  <c r="J464" i="3"/>
  <c r="I464" i="3"/>
  <c r="J458" i="3"/>
  <c r="I458" i="3"/>
  <c r="J452" i="3"/>
  <c r="I452" i="3"/>
  <c r="J524" i="1"/>
  <c r="I524" i="1"/>
  <c r="J518" i="1"/>
  <c r="I518" i="1"/>
  <c r="J512" i="1"/>
  <c r="I512" i="1"/>
  <c r="J506" i="1"/>
  <c r="I506" i="1"/>
  <c r="J500" i="1"/>
  <c r="I500" i="1"/>
  <c r="J494" i="1"/>
  <c r="I494" i="1"/>
  <c r="J482" i="1"/>
  <c r="I482" i="1"/>
  <c r="J476" i="1"/>
  <c r="I476" i="1"/>
  <c r="J470" i="1"/>
  <c r="I470" i="1"/>
  <c r="J464" i="1"/>
  <c r="I464" i="1"/>
  <c r="J458" i="1"/>
  <c r="I458" i="1"/>
  <c r="I452" i="1"/>
  <c r="J452" i="1"/>
  <c r="H524" i="1"/>
  <c r="G524" i="1"/>
  <c r="F524" i="1"/>
  <c r="E524" i="1"/>
  <c r="H518" i="1"/>
  <c r="G518" i="1"/>
  <c r="F518" i="1"/>
  <c r="E518" i="1"/>
  <c r="H512" i="1"/>
  <c r="G512" i="1"/>
  <c r="F512" i="1"/>
  <c r="E512" i="1"/>
  <c r="H506" i="1"/>
  <c r="G506" i="1"/>
  <c r="F506" i="1"/>
  <c r="E506" i="1"/>
  <c r="H500" i="1"/>
  <c r="G500" i="1"/>
  <c r="F500" i="1"/>
  <c r="E500" i="1"/>
  <c r="H494" i="1"/>
  <c r="G494" i="1"/>
  <c r="F494" i="1"/>
  <c r="E494" i="1"/>
  <c r="H482" i="1"/>
  <c r="G482" i="1"/>
  <c r="F482" i="1"/>
  <c r="E482" i="1"/>
  <c r="H476" i="1"/>
  <c r="G476" i="1"/>
  <c r="F476" i="1"/>
  <c r="E476" i="1"/>
  <c r="H470" i="1"/>
  <c r="G470" i="1"/>
  <c r="F470" i="1"/>
  <c r="E470" i="1"/>
  <c r="H464" i="1"/>
  <c r="G464" i="1"/>
  <c r="F464" i="1"/>
  <c r="E464" i="1"/>
  <c r="H458" i="1"/>
  <c r="G458" i="1"/>
  <c r="F458" i="1"/>
  <c r="E458" i="1"/>
  <c r="H452" i="1"/>
  <c r="G452" i="1"/>
  <c r="F452" i="1"/>
  <c r="E452" i="1"/>
  <c r="G437" i="3"/>
  <c r="F437" i="3"/>
  <c r="E437" i="3"/>
  <c r="H431" i="3"/>
  <c r="G431" i="3"/>
  <c r="F431" i="3"/>
  <c r="E431" i="3"/>
  <c r="H425" i="3"/>
  <c r="G425" i="3"/>
  <c r="F425" i="3"/>
  <c r="E425" i="3"/>
  <c r="H419" i="3"/>
  <c r="G419" i="3"/>
  <c r="F419" i="3"/>
  <c r="E419" i="3"/>
  <c r="H413" i="3"/>
  <c r="G413" i="3"/>
  <c r="F413" i="3"/>
  <c r="E413" i="3"/>
  <c r="H407" i="3"/>
  <c r="G407" i="3"/>
  <c r="F407" i="3"/>
  <c r="E40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H395" i="3"/>
  <c r="G395" i="3"/>
  <c r="F395" i="3"/>
  <c r="E395" i="3"/>
  <c r="H389" i="3"/>
  <c r="G389" i="3"/>
  <c r="F389" i="3"/>
  <c r="E389" i="3"/>
  <c r="H383" i="3"/>
  <c r="G383" i="3"/>
  <c r="F383" i="3"/>
  <c r="E383" i="3"/>
  <c r="H377" i="3"/>
  <c r="G377" i="3"/>
  <c r="F377" i="3"/>
  <c r="E377" i="3"/>
  <c r="H371" i="3"/>
  <c r="G371" i="3"/>
  <c r="F371" i="3"/>
  <c r="E371" i="3"/>
  <c r="H365" i="3"/>
  <c r="G365" i="3"/>
  <c r="F365" i="3"/>
  <c r="E36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AJ394" i="1"/>
  <c r="AI394" i="1"/>
  <c r="AH394" i="1"/>
  <c r="AG394" i="1"/>
  <c r="AJ388" i="1"/>
  <c r="AI388" i="1"/>
  <c r="AH388" i="1"/>
  <c r="AG388" i="1"/>
  <c r="AJ382" i="1"/>
  <c r="AI382" i="1"/>
  <c r="AH382" i="1"/>
  <c r="AG382" i="1"/>
  <c r="AF394" i="1"/>
  <c r="AE394" i="1"/>
  <c r="AD394" i="1"/>
  <c r="AC394" i="1"/>
  <c r="AF388" i="1"/>
  <c r="AE388" i="1"/>
  <c r="AD388" i="1"/>
  <c r="AC388" i="1"/>
  <c r="AF382" i="1"/>
  <c r="AE382" i="1"/>
  <c r="AD382" i="1"/>
  <c r="AC382" i="1"/>
  <c r="AB394" i="1"/>
  <c r="AA394" i="1"/>
  <c r="Z394" i="1"/>
  <c r="Y394" i="1"/>
  <c r="AB388" i="1"/>
  <c r="AA388" i="1"/>
  <c r="Z388" i="1"/>
  <c r="Y388" i="1"/>
  <c r="AB382" i="1"/>
  <c r="AA382" i="1"/>
  <c r="Z382" i="1"/>
  <c r="Y382" i="1"/>
  <c r="X394" i="1"/>
  <c r="W394" i="1"/>
  <c r="V394" i="1"/>
  <c r="U394" i="1"/>
  <c r="X388" i="1"/>
  <c r="W388" i="1"/>
  <c r="V388" i="1"/>
  <c r="U388" i="1"/>
  <c r="X382" i="1"/>
  <c r="W382" i="1"/>
  <c r="V382" i="1"/>
  <c r="U382" i="1"/>
  <c r="T394" i="1"/>
  <c r="S394" i="1"/>
  <c r="R394" i="1"/>
  <c r="Q394" i="1"/>
  <c r="T388" i="1"/>
  <c r="S388" i="1"/>
  <c r="R388" i="1"/>
  <c r="Q388" i="1"/>
  <c r="T382" i="1"/>
  <c r="S382" i="1"/>
  <c r="R382" i="1"/>
  <c r="Q382" i="1"/>
  <c r="P394" i="1"/>
  <c r="O394" i="1"/>
  <c r="N394" i="1"/>
  <c r="M394" i="1"/>
  <c r="P388" i="1"/>
  <c r="O388" i="1"/>
  <c r="N388" i="1"/>
  <c r="M388" i="1"/>
  <c r="P382" i="1"/>
  <c r="O382" i="1"/>
  <c r="N382" i="1"/>
  <c r="M382" i="1"/>
  <c r="AJ376" i="1"/>
  <c r="AI376" i="1"/>
  <c r="AH376" i="1"/>
  <c r="AG376" i="1"/>
  <c r="AF376" i="1"/>
  <c r="AE376" i="1"/>
  <c r="AD376" i="1"/>
  <c r="AC376" i="1"/>
  <c r="AJ370" i="1"/>
  <c r="AI370" i="1"/>
  <c r="AH370" i="1"/>
  <c r="AG370" i="1"/>
  <c r="AF370" i="1"/>
  <c r="AE370" i="1"/>
  <c r="AD370" i="1"/>
  <c r="AC370" i="1"/>
  <c r="AJ364" i="1"/>
  <c r="AI364" i="1"/>
  <c r="AH364" i="1"/>
  <c r="AG364" i="1"/>
  <c r="AF364" i="1"/>
  <c r="AE364" i="1"/>
  <c r="AD364" i="1"/>
  <c r="AC364" i="1"/>
  <c r="AB376" i="1"/>
  <c r="AA376" i="1"/>
  <c r="Z376" i="1"/>
  <c r="Y376" i="1"/>
  <c r="X376" i="1"/>
  <c r="W376" i="1"/>
  <c r="V376" i="1"/>
  <c r="U376" i="1"/>
  <c r="AB370" i="1"/>
  <c r="AA370" i="1"/>
  <c r="Z370" i="1"/>
  <c r="Y370" i="1"/>
  <c r="X370" i="1"/>
  <c r="W370" i="1"/>
  <c r="V370" i="1"/>
  <c r="U370" i="1"/>
  <c r="AB364" i="1"/>
  <c r="AA364" i="1"/>
  <c r="Z364" i="1"/>
  <c r="Y364" i="1"/>
  <c r="X364" i="1"/>
  <c r="W364" i="1"/>
  <c r="V364" i="1"/>
  <c r="U364" i="1"/>
  <c r="T376" i="1"/>
  <c r="S376" i="1"/>
  <c r="R376" i="1"/>
  <c r="Q376" i="1"/>
  <c r="T370" i="1"/>
  <c r="S370" i="1"/>
  <c r="R370" i="1"/>
  <c r="Q370" i="1"/>
  <c r="T364" i="1"/>
  <c r="S364" i="1"/>
  <c r="R364" i="1"/>
  <c r="Q364" i="1"/>
  <c r="P376" i="1"/>
  <c r="O376" i="1"/>
  <c r="N376" i="1"/>
  <c r="M376" i="1"/>
  <c r="P370" i="1"/>
  <c r="O370" i="1"/>
  <c r="N370" i="1"/>
  <c r="M370" i="1"/>
  <c r="P364" i="1"/>
  <c r="O364" i="1"/>
  <c r="N364" i="1"/>
  <c r="M364" i="1"/>
  <c r="L394" i="1"/>
  <c r="K394" i="1"/>
  <c r="J394" i="1"/>
  <c r="I394" i="1"/>
  <c r="L388" i="1"/>
  <c r="K388" i="1"/>
  <c r="J388" i="1"/>
  <c r="I388" i="1"/>
  <c r="L382" i="1"/>
  <c r="K382" i="1"/>
  <c r="J382" i="1"/>
  <c r="I382" i="1"/>
  <c r="L376" i="1"/>
  <c r="K376" i="1"/>
  <c r="J376" i="1"/>
  <c r="I376" i="1"/>
  <c r="L370" i="1"/>
  <c r="K370" i="1"/>
  <c r="J370" i="1"/>
  <c r="I370" i="1"/>
  <c r="L364" i="1"/>
  <c r="K364" i="1"/>
  <c r="J364" i="1"/>
  <c r="I364" i="1"/>
  <c r="H436" i="1"/>
  <c r="G436" i="1"/>
  <c r="F436" i="1"/>
  <c r="E436" i="1"/>
  <c r="H430" i="1"/>
  <c r="G430" i="1"/>
  <c r="F430" i="1"/>
  <c r="E430" i="1"/>
  <c r="H424" i="1"/>
  <c r="G424" i="1"/>
  <c r="F424" i="1"/>
  <c r="E424" i="1"/>
  <c r="H418" i="1"/>
  <c r="G418" i="1"/>
  <c r="F418" i="1"/>
  <c r="E418" i="1"/>
  <c r="H412" i="1"/>
  <c r="G412" i="1"/>
  <c r="F412" i="1"/>
  <c r="E412" i="1"/>
  <c r="H406" i="1"/>
  <c r="G406" i="1"/>
  <c r="F406" i="1"/>
  <c r="E406" i="1"/>
  <c r="H394" i="1"/>
  <c r="G394" i="1"/>
  <c r="F394" i="1"/>
  <c r="E394" i="1"/>
  <c r="H388" i="1"/>
  <c r="G388" i="1"/>
  <c r="F388" i="1"/>
  <c r="E388" i="1"/>
  <c r="H382" i="1"/>
  <c r="G382" i="1"/>
  <c r="F382" i="1"/>
  <c r="E382" i="1"/>
  <c r="H376" i="1"/>
  <c r="G376" i="1"/>
  <c r="F376" i="1"/>
  <c r="E376" i="1"/>
  <c r="H370" i="1"/>
  <c r="G370" i="1"/>
  <c r="F370" i="1"/>
  <c r="E370" i="1"/>
  <c r="H364" i="1"/>
  <c r="G364" i="1"/>
  <c r="F364" i="1"/>
  <c r="E364" i="1"/>
  <c r="C121" i="2"/>
  <c r="E121" i="2"/>
  <c r="D121" i="2"/>
  <c r="N109" i="2"/>
  <c r="O109" i="2"/>
  <c r="M109" i="2"/>
  <c r="D109" i="2"/>
  <c r="E109" i="2"/>
  <c r="C109" i="2"/>
  <c r="O121" i="2"/>
  <c r="N121" i="2"/>
  <c r="M121" i="2"/>
  <c r="J121" i="2"/>
  <c r="I121" i="2"/>
  <c r="H121" i="2"/>
  <c r="O115" i="2"/>
  <c r="N115" i="2"/>
  <c r="M115" i="2"/>
  <c r="J115" i="2"/>
  <c r="I115" i="2"/>
  <c r="H115" i="2"/>
  <c r="E115" i="2"/>
  <c r="D115" i="2"/>
  <c r="C115" i="2"/>
  <c r="J109" i="2"/>
  <c r="I109" i="2"/>
  <c r="H109" i="2"/>
  <c r="O103" i="2"/>
  <c r="N103" i="2"/>
  <c r="M103" i="2"/>
  <c r="J103" i="2"/>
  <c r="I103" i="2"/>
  <c r="H103" i="2"/>
  <c r="E103" i="2"/>
  <c r="D103" i="2"/>
  <c r="C103" i="2"/>
  <c r="G310" i="1"/>
  <c r="F310" i="1"/>
  <c r="E310" i="1"/>
  <c r="D310" i="1"/>
  <c r="S335" i="3"/>
  <c r="S352" i="3" s="1"/>
  <c r="R335" i="3"/>
  <c r="R352" i="3" s="1"/>
  <c r="Q335" i="3"/>
  <c r="Q352" i="3" s="1"/>
  <c r="P335" i="3"/>
  <c r="P352" i="3" s="1"/>
  <c r="M335" i="3"/>
  <c r="M352" i="3" s="1"/>
  <c r="L335" i="3"/>
  <c r="L352" i="3" s="1"/>
  <c r="K335" i="3"/>
  <c r="K352" i="3" s="1"/>
  <c r="J335" i="3"/>
  <c r="J352" i="3" s="1"/>
  <c r="G335" i="3"/>
  <c r="G352" i="3" s="1"/>
  <c r="F335" i="3"/>
  <c r="F352" i="3" s="1"/>
  <c r="E335" i="3"/>
  <c r="E352" i="3" s="1"/>
  <c r="D335" i="3"/>
  <c r="D352" i="3" s="1"/>
  <c r="S329" i="3"/>
  <c r="S351" i="3" s="1"/>
  <c r="R329" i="3"/>
  <c r="R351" i="3" s="1"/>
  <c r="Q329" i="3"/>
  <c r="Q351" i="3" s="1"/>
  <c r="P329" i="3"/>
  <c r="P351" i="3" s="1"/>
  <c r="M329" i="3"/>
  <c r="M351" i="3" s="1"/>
  <c r="L329" i="3"/>
  <c r="L351" i="3" s="1"/>
  <c r="K329" i="3"/>
  <c r="K351" i="3" s="1"/>
  <c r="J329" i="3"/>
  <c r="J351" i="3" s="1"/>
  <c r="G329" i="3"/>
  <c r="G351" i="3" s="1"/>
  <c r="F329" i="3"/>
  <c r="F351" i="3" s="1"/>
  <c r="E329" i="3"/>
  <c r="E351" i="3" s="1"/>
  <c r="D329" i="3"/>
  <c r="D351" i="3" s="1"/>
  <c r="S323" i="3"/>
  <c r="S350" i="3" s="1"/>
  <c r="R323" i="3"/>
  <c r="R350" i="3" s="1"/>
  <c r="Q323" i="3"/>
  <c r="Q350" i="3" s="1"/>
  <c r="P323" i="3"/>
  <c r="P350" i="3" s="1"/>
  <c r="M323" i="3"/>
  <c r="M350" i="3" s="1"/>
  <c r="L323" i="3"/>
  <c r="L350" i="3" s="1"/>
  <c r="K323" i="3"/>
  <c r="K350" i="3" s="1"/>
  <c r="J323" i="3"/>
  <c r="J350" i="3" s="1"/>
  <c r="G323" i="3"/>
  <c r="G350" i="3" s="1"/>
  <c r="F323" i="3"/>
  <c r="F350" i="3" s="1"/>
  <c r="E323" i="3"/>
  <c r="E350" i="3" s="1"/>
  <c r="D323" i="3"/>
  <c r="D350" i="3" s="1"/>
  <c r="S317" i="3"/>
  <c r="S349" i="3" s="1"/>
  <c r="R317" i="3"/>
  <c r="R349" i="3" s="1"/>
  <c r="Q317" i="3"/>
  <c r="Q349" i="3" s="1"/>
  <c r="P317" i="3"/>
  <c r="P349" i="3" s="1"/>
  <c r="M317" i="3"/>
  <c r="M349" i="3" s="1"/>
  <c r="L317" i="3"/>
  <c r="L349" i="3" s="1"/>
  <c r="K317" i="3"/>
  <c r="K349" i="3" s="1"/>
  <c r="J317" i="3"/>
  <c r="J349" i="3" s="1"/>
  <c r="G317" i="3"/>
  <c r="G349" i="3" s="1"/>
  <c r="F317" i="3"/>
  <c r="F349" i="3" s="1"/>
  <c r="E317" i="3"/>
  <c r="E349" i="3" s="1"/>
  <c r="D317" i="3"/>
  <c r="D349" i="3" s="1"/>
  <c r="S311" i="3"/>
  <c r="S348" i="3" s="1"/>
  <c r="R311" i="3"/>
  <c r="R348" i="3" s="1"/>
  <c r="Q311" i="3"/>
  <c r="Q348" i="3" s="1"/>
  <c r="P311" i="3"/>
  <c r="P348" i="3" s="1"/>
  <c r="M311" i="3"/>
  <c r="M348" i="3" s="1"/>
  <c r="L311" i="3"/>
  <c r="L348" i="3" s="1"/>
  <c r="K311" i="3"/>
  <c r="K348" i="3" s="1"/>
  <c r="J311" i="3"/>
  <c r="J348" i="3" s="1"/>
  <c r="G311" i="3"/>
  <c r="G348" i="3" s="1"/>
  <c r="F311" i="3"/>
  <c r="F348" i="3" s="1"/>
  <c r="E311" i="3"/>
  <c r="E348" i="3" s="1"/>
  <c r="D311" i="3"/>
  <c r="D348" i="3" s="1"/>
  <c r="S305" i="3"/>
  <c r="S347" i="3" s="1"/>
  <c r="R305" i="3"/>
  <c r="R347" i="3" s="1"/>
  <c r="Q305" i="3"/>
  <c r="Q347" i="3" s="1"/>
  <c r="P305" i="3"/>
  <c r="P347" i="3" s="1"/>
  <c r="M305" i="3"/>
  <c r="M347" i="3" s="1"/>
  <c r="L305" i="3"/>
  <c r="L347" i="3" s="1"/>
  <c r="K305" i="3"/>
  <c r="K347" i="3" s="1"/>
  <c r="J305" i="3"/>
  <c r="J347" i="3" s="1"/>
  <c r="G305" i="3"/>
  <c r="G347" i="3" s="1"/>
  <c r="F305" i="3"/>
  <c r="F347" i="3" s="1"/>
  <c r="E305" i="3"/>
  <c r="E347" i="3" s="1"/>
  <c r="D305" i="3"/>
  <c r="D347" i="3" s="1"/>
  <c r="S295" i="3"/>
  <c r="S346" i="3" s="1"/>
  <c r="R295" i="3"/>
  <c r="R346" i="3" s="1"/>
  <c r="Q295" i="3"/>
  <c r="Q346" i="3" s="1"/>
  <c r="P295" i="3"/>
  <c r="P346" i="3" s="1"/>
  <c r="M295" i="3"/>
  <c r="M346" i="3" s="1"/>
  <c r="L295" i="3"/>
  <c r="L346" i="3" s="1"/>
  <c r="K295" i="3"/>
  <c r="K346" i="3" s="1"/>
  <c r="J295" i="3"/>
  <c r="J346" i="3" s="1"/>
  <c r="G295" i="3"/>
  <c r="G346" i="3" s="1"/>
  <c r="F295" i="3"/>
  <c r="F346" i="3" s="1"/>
  <c r="E295" i="3"/>
  <c r="E346" i="3" s="1"/>
  <c r="D295" i="3"/>
  <c r="D346" i="3" s="1"/>
  <c r="S289" i="3"/>
  <c r="S345" i="3" s="1"/>
  <c r="R289" i="3"/>
  <c r="R345" i="3" s="1"/>
  <c r="Q289" i="3"/>
  <c r="Q345" i="3" s="1"/>
  <c r="P289" i="3"/>
  <c r="P345" i="3" s="1"/>
  <c r="M289" i="3"/>
  <c r="M345" i="3" s="1"/>
  <c r="L289" i="3"/>
  <c r="L345" i="3" s="1"/>
  <c r="K289" i="3"/>
  <c r="K345" i="3" s="1"/>
  <c r="J289" i="3"/>
  <c r="J345" i="3" s="1"/>
  <c r="G289" i="3"/>
  <c r="G345" i="3" s="1"/>
  <c r="F289" i="3"/>
  <c r="F345" i="3" s="1"/>
  <c r="E289" i="3"/>
  <c r="E345" i="3" s="1"/>
  <c r="D289" i="3"/>
  <c r="D345" i="3" s="1"/>
  <c r="S283" i="3"/>
  <c r="S344" i="3" s="1"/>
  <c r="R283" i="3"/>
  <c r="R344" i="3" s="1"/>
  <c r="Q283" i="3"/>
  <c r="Q344" i="3" s="1"/>
  <c r="P283" i="3"/>
  <c r="P344" i="3" s="1"/>
  <c r="M283" i="3"/>
  <c r="M344" i="3" s="1"/>
  <c r="L283" i="3"/>
  <c r="L344" i="3" s="1"/>
  <c r="K283" i="3"/>
  <c r="K344" i="3" s="1"/>
  <c r="J283" i="3"/>
  <c r="J344" i="3" s="1"/>
  <c r="G283" i="3"/>
  <c r="G344" i="3" s="1"/>
  <c r="F283" i="3"/>
  <c r="F344" i="3" s="1"/>
  <c r="E283" i="3"/>
  <c r="E344" i="3" s="1"/>
  <c r="D283" i="3"/>
  <c r="D344" i="3" s="1"/>
  <c r="S277" i="3"/>
  <c r="S343" i="3" s="1"/>
  <c r="R277" i="3"/>
  <c r="R343" i="3" s="1"/>
  <c r="Q277" i="3"/>
  <c r="Q343" i="3" s="1"/>
  <c r="P277" i="3"/>
  <c r="P343" i="3" s="1"/>
  <c r="M277" i="3"/>
  <c r="M343" i="3" s="1"/>
  <c r="L277" i="3"/>
  <c r="L343" i="3" s="1"/>
  <c r="K277" i="3"/>
  <c r="K343" i="3" s="1"/>
  <c r="J277" i="3"/>
  <c r="J343" i="3" s="1"/>
  <c r="G277" i="3"/>
  <c r="G343" i="3" s="1"/>
  <c r="F277" i="3"/>
  <c r="F343" i="3" s="1"/>
  <c r="E277" i="3"/>
  <c r="E343" i="3" s="1"/>
  <c r="D277" i="3"/>
  <c r="D343" i="3" s="1"/>
  <c r="S271" i="3"/>
  <c r="S342" i="3" s="1"/>
  <c r="R271" i="3"/>
  <c r="R342" i="3" s="1"/>
  <c r="Q271" i="3"/>
  <c r="Q342" i="3" s="1"/>
  <c r="P271" i="3"/>
  <c r="P342" i="3" s="1"/>
  <c r="M271" i="3"/>
  <c r="M342" i="3" s="1"/>
  <c r="L271" i="3"/>
  <c r="L342" i="3" s="1"/>
  <c r="K271" i="3"/>
  <c r="K342" i="3" s="1"/>
  <c r="J271" i="3"/>
  <c r="J342" i="3" s="1"/>
  <c r="G271" i="3"/>
  <c r="G342" i="3" s="1"/>
  <c r="F271" i="3"/>
  <c r="F342" i="3" s="1"/>
  <c r="E271" i="3"/>
  <c r="E342" i="3" s="1"/>
  <c r="D271" i="3"/>
  <c r="D342" i="3" s="1"/>
  <c r="S265" i="3"/>
  <c r="S341" i="3" s="1"/>
  <c r="R265" i="3"/>
  <c r="R341" i="3" s="1"/>
  <c r="Q265" i="3"/>
  <c r="Q341" i="3" s="1"/>
  <c r="P265" i="3"/>
  <c r="P341" i="3" s="1"/>
  <c r="M265" i="3"/>
  <c r="M341" i="3" s="1"/>
  <c r="L265" i="3"/>
  <c r="L341" i="3" s="1"/>
  <c r="K265" i="3"/>
  <c r="K341" i="3" s="1"/>
  <c r="J265" i="3"/>
  <c r="J341" i="3" s="1"/>
  <c r="G265" i="3"/>
  <c r="G341" i="3" s="1"/>
  <c r="F265" i="3"/>
  <c r="F341" i="3" s="1"/>
  <c r="E265" i="3"/>
  <c r="E341" i="3" s="1"/>
  <c r="D265" i="3"/>
  <c r="D341" i="3" s="1"/>
  <c r="S334" i="1"/>
  <c r="S351" i="1" s="1"/>
  <c r="R334" i="1"/>
  <c r="R351" i="1" s="1"/>
  <c r="Q334" i="1"/>
  <c r="Q351" i="1" s="1"/>
  <c r="P334" i="1"/>
  <c r="P351" i="1" s="1"/>
  <c r="M334" i="1"/>
  <c r="M351" i="1" s="1"/>
  <c r="L334" i="1"/>
  <c r="L351" i="1" s="1"/>
  <c r="K334" i="1"/>
  <c r="K351" i="1" s="1"/>
  <c r="J334" i="1"/>
  <c r="J351" i="1" s="1"/>
  <c r="G334" i="1"/>
  <c r="G351" i="1" s="1"/>
  <c r="F334" i="1"/>
  <c r="F351" i="1" s="1"/>
  <c r="E334" i="1"/>
  <c r="E351" i="1" s="1"/>
  <c r="D334" i="1"/>
  <c r="D351" i="1" s="1"/>
  <c r="S328" i="1"/>
  <c r="S350" i="1" s="1"/>
  <c r="R328" i="1"/>
  <c r="R350" i="1" s="1"/>
  <c r="Q328" i="1"/>
  <c r="Q350" i="1" s="1"/>
  <c r="P328" i="1"/>
  <c r="P350" i="1" s="1"/>
  <c r="M328" i="1"/>
  <c r="M350" i="1" s="1"/>
  <c r="L328" i="1"/>
  <c r="L350" i="1" s="1"/>
  <c r="K328" i="1"/>
  <c r="K350" i="1" s="1"/>
  <c r="J328" i="1"/>
  <c r="J350" i="1" s="1"/>
  <c r="G328" i="1"/>
  <c r="F328" i="1"/>
  <c r="E328" i="1"/>
  <c r="D328" i="1"/>
  <c r="S322" i="1"/>
  <c r="S349" i="1" s="1"/>
  <c r="R322" i="1"/>
  <c r="R349" i="1" s="1"/>
  <c r="Q322" i="1"/>
  <c r="Q349" i="1" s="1"/>
  <c r="P322" i="1"/>
  <c r="P349" i="1" s="1"/>
  <c r="M322" i="1"/>
  <c r="M349" i="1" s="1"/>
  <c r="L322" i="1"/>
  <c r="L349" i="1" s="1"/>
  <c r="K322" i="1"/>
  <c r="K349" i="1" s="1"/>
  <c r="J322" i="1"/>
  <c r="J349" i="1" s="1"/>
  <c r="G322" i="1"/>
  <c r="F322" i="1"/>
  <c r="E322" i="1"/>
  <c r="D322" i="1"/>
  <c r="S316" i="1"/>
  <c r="S348" i="1" s="1"/>
  <c r="R316" i="1"/>
  <c r="R348" i="1" s="1"/>
  <c r="Q316" i="1"/>
  <c r="Q348" i="1" s="1"/>
  <c r="P316" i="1"/>
  <c r="P348" i="1" s="1"/>
  <c r="M316" i="1"/>
  <c r="M348" i="1" s="1"/>
  <c r="L316" i="1"/>
  <c r="L348" i="1" s="1"/>
  <c r="K316" i="1"/>
  <c r="K348" i="1" s="1"/>
  <c r="J316" i="1"/>
  <c r="J348" i="1" s="1"/>
  <c r="G316" i="1"/>
  <c r="F316" i="1"/>
  <c r="E316" i="1"/>
  <c r="D316" i="1"/>
  <c r="S310" i="1"/>
  <c r="S347" i="1" s="1"/>
  <c r="R310" i="1"/>
  <c r="R347" i="1" s="1"/>
  <c r="Q310" i="1"/>
  <c r="Q347" i="1" s="1"/>
  <c r="P310" i="1"/>
  <c r="P347" i="1" s="1"/>
  <c r="M310" i="1"/>
  <c r="M347" i="1" s="1"/>
  <c r="L310" i="1"/>
  <c r="L347" i="1" s="1"/>
  <c r="K310" i="1"/>
  <c r="K347" i="1" s="1"/>
  <c r="J310" i="1"/>
  <c r="J347" i="1" s="1"/>
  <c r="G347" i="1"/>
  <c r="F347" i="1"/>
  <c r="E347" i="1"/>
  <c r="D347" i="1"/>
  <c r="S304" i="1"/>
  <c r="S346" i="1" s="1"/>
  <c r="R304" i="1"/>
  <c r="R346" i="1" s="1"/>
  <c r="Q304" i="1"/>
  <c r="Q346" i="1" s="1"/>
  <c r="P304" i="1"/>
  <c r="P346" i="1" s="1"/>
  <c r="M304" i="1"/>
  <c r="M346" i="1" s="1"/>
  <c r="L304" i="1"/>
  <c r="L346" i="1" s="1"/>
  <c r="K304" i="1"/>
  <c r="K346" i="1" s="1"/>
  <c r="J304" i="1"/>
  <c r="J346" i="1" s="1"/>
  <c r="G304" i="1"/>
  <c r="F304" i="1"/>
  <c r="E304" i="1"/>
  <c r="D304" i="1"/>
  <c r="S294" i="1"/>
  <c r="S345" i="1" s="1"/>
  <c r="R294" i="1"/>
  <c r="R345" i="1" s="1"/>
  <c r="Q294" i="1"/>
  <c r="Q345" i="1" s="1"/>
  <c r="P294" i="1"/>
  <c r="P345" i="1" s="1"/>
  <c r="M294" i="1"/>
  <c r="M345" i="1" s="1"/>
  <c r="L294" i="1"/>
  <c r="L345" i="1" s="1"/>
  <c r="K294" i="1"/>
  <c r="K345" i="1" s="1"/>
  <c r="J294" i="1"/>
  <c r="J345" i="1" s="1"/>
  <c r="G294" i="1"/>
  <c r="G345" i="1" s="1"/>
  <c r="F294" i="1"/>
  <c r="F345" i="1" s="1"/>
  <c r="E294" i="1"/>
  <c r="E345" i="1" s="1"/>
  <c r="D294" i="1"/>
  <c r="D345" i="1" s="1"/>
  <c r="S288" i="1"/>
  <c r="S344" i="1" s="1"/>
  <c r="R288" i="1"/>
  <c r="R344" i="1" s="1"/>
  <c r="Q288" i="1"/>
  <c r="Q344" i="1" s="1"/>
  <c r="P288" i="1"/>
  <c r="P344" i="1" s="1"/>
  <c r="M288" i="1"/>
  <c r="M344" i="1" s="1"/>
  <c r="L288" i="1"/>
  <c r="L344" i="1" s="1"/>
  <c r="K288" i="1"/>
  <c r="K344" i="1" s="1"/>
  <c r="J288" i="1"/>
  <c r="J344" i="1" s="1"/>
  <c r="G288" i="1"/>
  <c r="G344" i="1" s="1"/>
  <c r="F288" i="1"/>
  <c r="F344" i="1" s="1"/>
  <c r="E288" i="1"/>
  <c r="E344" i="1" s="1"/>
  <c r="D288" i="1"/>
  <c r="D344" i="1" s="1"/>
  <c r="S282" i="1"/>
  <c r="S343" i="1" s="1"/>
  <c r="R282" i="1"/>
  <c r="R343" i="1" s="1"/>
  <c r="Q282" i="1"/>
  <c r="Q343" i="1" s="1"/>
  <c r="P282" i="1"/>
  <c r="P343" i="1" s="1"/>
  <c r="M282" i="1"/>
  <c r="M343" i="1" s="1"/>
  <c r="L282" i="1"/>
  <c r="L343" i="1" s="1"/>
  <c r="K282" i="1"/>
  <c r="K343" i="1" s="1"/>
  <c r="J282" i="1"/>
  <c r="J343" i="1" s="1"/>
  <c r="G282" i="1"/>
  <c r="G343" i="1" s="1"/>
  <c r="F282" i="1"/>
  <c r="F343" i="1" s="1"/>
  <c r="E282" i="1"/>
  <c r="E343" i="1" s="1"/>
  <c r="D282" i="1"/>
  <c r="D343" i="1" s="1"/>
  <c r="S276" i="1"/>
  <c r="S342" i="1" s="1"/>
  <c r="R276" i="1"/>
  <c r="R342" i="1" s="1"/>
  <c r="Q276" i="1"/>
  <c r="Q342" i="1" s="1"/>
  <c r="P276" i="1"/>
  <c r="P342" i="1" s="1"/>
  <c r="M276" i="1"/>
  <c r="M342" i="1" s="1"/>
  <c r="L276" i="1"/>
  <c r="L342" i="1" s="1"/>
  <c r="K276" i="1"/>
  <c r="K342" i="1" s="1"/>
  <c r="J276" i="1"/>
  <c r="J342" i="1" s="1"/>
  <c r="G276" i="1"/>
  <c r="G342" i="1" s="1"/>
  <c r="F276" i="1"/>
  <c r="F342" i="1" s="1"/>
  <c r="E276" i="1"/>
  <c r="E342" i="1" s="1"/>
  <c r="D276" i="1"/>
  <c r="D342" i="1" s="1"/>
  <c r="S270" i="1"/>
  <c r="S341" i="1" s="1"/>
  <c r="R270" i="1"/>
  <c r="R341" i="1" s="1"/>
  <c r="Q270" i="1"/>
  <c r="Q341" i="1" s="1"/>
  <c r="P270" i="1"/>
  <c r="P341" i="1" s="1"/>
  <c r="M270" i="1"/>
  <c r="M341" i="1" s="1"/>
  <c r="L270" i="1"/>
  <c r="L341" i="1" s="1"/>
  <c r="K270" i="1"/>
  <c r="K341" i="1" s="1"/>
  <c r="J270" i="1"/>
  <c r="J341" i="1" s="1"/>
  <c r="G270" i="1"/>
  <c r="G341" i="1" s="1"/>
  <c r="F270" i="1"/>
  <c r="F341" i="1" s="1"/>
  <c r="E270" i="1"/>
  <c r="E341" i="1" s="1"/>
  <c r="D270" i="1"/>
  <c r="D341" i="1" s="1"/>
  <c r="S264" i="1"/>
  <c r="S340" i="1" s="1"/>
  <c r="R264" i="1"/>
  <c r="R340" i="1" s="1"/>
  <c r="Q264" i="1"/>
  <c r="Q340" i="1" s="1"/>
  <c r="P264" i="1"/>
  <c r="P340" i="1" s="1"/>
  <c r="M264" i="1"/>
  <c r="M340" i="1" s="1"/>
  <c r="L264" i="1"/>
  <c r="L340" i="1" s="1"/>
  <c r="K264" i="1"/>
  <c r="K340" i="1" s="1"/>
  <c r="J264" i="1"/>
  <c r="J340" i="1" s="1"/>
  <c r="G264" i="1"/>
  <c r="G340" i="1" s="1"/>
  <c r="F264" i="1"/>
  <c r="F340" i="1" s="1"/>
  <c r="E264" i="1"/>
  <c r="E340" i="1" s="1"/>
  <c r="D264" i="1"/>
  <c r="D340" i="1" s="1"/>
  <c r="H81" i="2"/>
  <c r="I81" i="2"/>
  <c r="J81" i="2"/>
  <c r="S232" i="3"/>
  <c r="R232" i="3"/>
  <c r="Q232" i="3"/>
  <c r="P232" i="3"/>
  <c r="S226" i="3"/>
  <c r="R226" i="3"/>
  <c r="Q226" i="3"/>
  <c r="P226" i="3"/>
  <c r="S220" i="3"/>
  <c r="R220" i="3"/>
  <c r="Q220" i="3"/>
  <c r="P220" i="3"/>
  <c r="S214" i="3"/>
  <c r="R214" i="3"/>
  <c r="Q214" i="3"/>
  <c r="P214" i="3"/>
  <c r="S208" i="3"/>
  <c r="R208" i="3"/>
  <c r="Q208" i="3"/>
  <c r="P208" i="3"/>
  <c r="N81" i="2"/>
  <c r="O81" i="2"/>
  <c r="M81" i="2"/>
  <c r="E87" i="2"/>
  <c r="D87" i="2"/>
  <c r="C87" i="2"/>
  <c r="H87" i="2"/>
  <c r="I87" i="2"/>
  <c r="J87" i="2"/>
  <c r="M87" i="2"/>
  <c r="N87" i="2"/>
  <c r="O87" i="2"/>
  <c r="P168" i="3"/>
  <c r="Q168" i="3"/>
  <c r="R168" i="3"/>
  <c r="S168" i="3"/>
  <c r="P174" i="3"/>
  <c r="Q174" i="3"/>
  <c r="R174" i="3"/>
  <c r="S174" i="3"/>
  <c r="P180" i="3"/>
  <c r="Q180" i="3"/>
  <c r="R180" i="3"/>
  <c r="S180" i="3"/>
  <c r="P186" i="3"/>
  <c r="Q186" i="3"/>
  <c r="R186" i="3"/>
  <c r="S186" i="3"/>
  <c r="P192" i="3"/>
  <c r="Q192" i="3"/>
  <c r="R192" i="3"/>
  <c r="S192" i="3"/>
  <c r="P198" i="3"/>
  <c r="Q198" i="3"/>
  <c r="R198" i="3"/>
  <c r="S198" i="3"/>
  <c r="J168" i="3"/>
  <c r="K168" i="3"/>
  <c r="L168" i="3"/>
  <c r="M168" i="3"/>
  <c r="J174" i="3"/>
  <c r="K174" i="3"/>
  <c r="L174" i="3"/>
  <c r="M174" i="3"/>
  <c r="J180" i="3"/>
  <c r="K180" i="3"/>
  <c r="L180" i="3"/>
  <c r="M180" i="3"/>
  <c r="J186" i="3"/>
  <c r="K186" i="3"/>
  <c r="L186" i="3"/>
  <c r="M186" i="3"/>
  <c r="J192" i="3"/>
  <c r="K192" i="3"/>
  <c r="L192" i="3"/>
  <c r="M192" i="3"/>
  <c r="J198" i="3"/>
  <c r="K198" i="3"/>
  <c r="L198" i="3"/>
  <c r="M198" i="3"/>
  <c r="P237" i="1"/>
  <c r="P254" i="1" s="1"/>
  <c r="Q237" i="1"/>
  <c r="Q254" i="1" s="1"/>
  <c r="R237" i="1"/>
  <c r="R254" i="1" s="1"/>
  <c r="S237" i="1"/>
  <c r="S254" i="1" s="1"/>
  <c r="J237" i="1"/>
  <c r="J254" i="1" s="1"/>
  <c r="K237" i="1"/>
  <c r="K254" i="1" s="1"/>
  <c r="L237" i="1"/>
  <c r="L254" i="1" s="1"/>
  <c r="M237" i="1"/>
  <c r="M254" i="1" s="1"/>
  <c r="D237" i="1"/>
  <c r="D254" i="1" s="1"/>
  <c r="E237" i="1"/>
  <c r="E254" i="1" s="1"/>
  <c r="F237" i="1"/>
  <c r="F254" i="1" s="1"/>
  <c r="G237" i="1"/>
  <c r="G254" i="1" s="1"/>
  <c r="P231" i="1"/>
  <c r="P253" i="1" s="1"/>
  <c r="Q231" i="1"/>
  <c r="Q253" i="1" s="1"/>
  <c r="R231" i="1"/>
  <c r="R253" i="1" s="1"/>
  <c r="S231" i="1"/>
  <c r="S253" i="1" s="1"/>
  <c r="J231" i="1"/>
  <c r="J253" i="1" s="1"/>
  <c r="K231" i="1"/>
  <c r="K253" i="1" s="1"/>
  <c r="L231" i="1"/>
  <c r="L253" i="1" s="1"/>
  <c r="M231" i="1"/>
  <c r="M253" i="1" s="1"/>
  <c r="D231" i="1"/>
  <c r="D253" i="1" s="1"/>
  <c r="E231" i="1"/>
  <c r="E253" i="1" s="1"/>
  <c r="F231" i="1"/>
  <c r="F253" i="1" s="1"/>
  <c r="G231" i="1"/>
  <c r="G253" i="1" s="1"/>
  <c r="P225" i="1"/>
  <c r="P252" i="1" s="1"/>
  <c r="Q225" i="1"/>
  <c r="Q252" i="1" s="1"/>
  <c r="R225" i="1"/>
  <c r="R252" i="1" s="1"/>
  <c r="S225" i="1"/>
  <c r="S252" i="1" s="1"/>
  <c r="J225" i="1"/>
  <c r="J252" i="1" s="1"/>
  <c r="K225" i="1"/>
  <c r="K252" i="1" s="1"/>
  <c r="L225" i="1"/>
  <c r="L252" i="1" s="1"/>
  <c r="M225" i="1"/>
  <c r="M252" i="1" s="1"/>
  <c r="D225" i="1"/>
  <c r="D252" i="1" s="1"/>
  <c r="E225" i="1"/>
  <c r="E252" i="1" s="1"/>
  <c r="F225" i="1"/>
  <c r="F252" i="1" s="1"/>
  <c r="G225" i="1"/>
  <c r="G252" i="1" s="1"/>
  <c r="P219" i="1"/>
  <c r="P251" i="1" s="1"/>
  <c r="Q219" i="1"/>
  <c r="Q251" i="1" s="1"/>
  <c r="R219" i="1"/>
  <c r="R251" i="1" s="1"/>
  <c r="S219" i="1"/>
  <c r="S251" i="1" s="1"/>
  <c r="J219" i="1"/>
  <c r="J251" i="1" s="1"/>
  <c r="K219" i="1"/>
  <c r="K251" i="1" s="1"/>
  <c r="L219" i="1"/>
  <c r="L251" i="1" s="1"/>
  <c r="M219" i="1"/>
  <c r="M251" i="1" s="1"/>
  <c r="D219" i="1"/>
  <c r="D251" i="1" s="1"/>
  <c r="E219" i="1"/>
  <c r="E251" i="1" s="1"/>
  <c r="F219" i="1"/>
  <c r="F251" i="1" s="1"/>
  <c r="G219" i="1"/>
  <c r="G251" i="1" s="1"/>
  <c r="P213" i="1"/>
  <c r="P250" i="1" s="1"/>
  <c r="Q213" i="1"/>
  <c r="Q250" i="1" s="1"/>
  <c r="R213" i="1"/>
  <c r="R250" i="1" s="1"/>
  <c r="S213" i="1"/>
  <c r="S250" i="1" s="1"/>
  <c r="J213" i="1"/>
  <c r="J250" i="1" s="1"/>
  <c r="K213" i="1"/>
  <c r="K250" i="1" s="1"/>
  <c r="L213" i="1"/>
  <c r="L250" i="1" s="1"/>
  <c r="M213" i="1"/>
  <c r="M250" i="1" s="1"/>
  <c r="D213" i="1"/>
  <c r="D250" i="1" s="1"/>
  <c r="E213" i="1"/>
  <c r="E250" i="1" s="1"/>
  <c r="F213" i="1"/>
  <c r="F250" i="1" s="1"/>
  <c r="G213" i="1"/>
  <c r="G250" i="1" s="1"/>
  <c r="P207" i="1"/>
  <c r="P249" i="1" s="1"/>
  <c r="Q207" i="1"/>
  <c r="Q249" i="1" s="1"/>
  <c r="R207" i="1"/>
  <c r="R249" i="1" s="1"/>
  <c r="S207" i="1"/>
  <c r="S249" i="1" s="1"/>
  <c r="J207" i="1"/>
  <c r="J249" i="1" s="1"/>
  <c r="K207" i="1"/>
  <c r="K249" i="1" s="1"/>
  <c r="L207" i="1"/>
  <c r="L249" i="1" s="1"/>
  <c r="M249" i="1"/>
  <c r="D207" i="1"/>
  <c r="D249" i="1" s="1"/>
  <c r="E207" i="1"/>
  <c r="E249" i="1" s="1"/>
  <c r="F207" i="1"/>
  <c r="F249" i="1" s="1"/>
  <c r="G207" i="1"/>
  <c r="G249" i="1" s="1"/>
  <c r="D167" i="1"/>
  <c r="D243" i="1" s="1"/>
  <c r="E167" i="1"/>
  <c r="E243" i="1" s="1"/>
  <c r="F167" i="1"/>
  <c r="F243" i="1" s="1"/>
  <c r="G167" i="1"/>
  <c r="G243" i="1" s="1"/>
  <c r="J167" i="1"/>
  <c r="J243" i="1" s="1"/>
  <c r="K167" i="1"/>
  <c r="K243" i="1" s="1"/>
  <c r="L167" i="1"/>
  <c r="L243" i="1" s="1"/>
  <c r="M167" i="1"/>
  <c r="M243" i="1" s="1"/>
  <c r="P167" i="1"/>
  <c r="P243" i="1" s="1"/>
  <c r="Q167" i="1"/>
  <c r="Q243" i="1" s="1"/>
  <c r="R167" i="1"/>
  <c r="R243" i="1" s="1"/>
  <c r="S167" i="1"/>
  <c r="S243" i="1" s="1"/>
  <c r="D173" i="1"/>
  <c r="D244" i="1" s="1"/>
  <c r="E173" i="1"/>
  <c r="E244" i="1" s="1"/>
  <c r="F173" i="1"/>
  <c r="F244" i="1" s="1"/>
  <c r="G173" i="1"/>
  <c r="G244" i="1" s="1"/>
  <c r="J173" i="1"/>
  <c r="J244" i="1" s="1"/>
  <c r="K173" i="1"/>
  <c r="K244" i="1" s="1"/>
  <c r="L173" i="1"/>
  <c r="L244" i="1" s="1"/>
  <c r="M173" i="1"/>
  <c r="P173" i="1"/>
  <c r="P244" i="1" s="1"/>
  <c r="Q173" i="1"/>
  <c r="Q244" i="1" s="1"/>
  <c r="R173" i="1"/>
  <c r="R244" i="1" s="1"/>
  <c r="S173" i="1"/>
  <c r="S244" i="1" s="1"/>
  <c r="D179" i="1"/>
  <c r="D245" i="1" s="1"/>
  <c r="E179" i="1"/>
  <c r="E245" i="1" s="1"/>
  <c r="F179" i="1"/>
  <c r="F245" i="1" s="1"/>
  <c r="G179" i="1"/>
  <c r="G245" i="1" s="1"/>
  <c r="J179" i="1"/>
  <c r="J245" i="1" s="1"/>
  <c r="K179" i="1"/>
  <c r="K245" i="1" s="1"/>
  <c r="L179" i="1"/>
  <c r="L245" i="1" s="1"/>
  <c r="M179" i="1"/>
  <c r="M245" i="1" s="1"/>
  <c r="P179" i="1"/>
  <c r="P245" i="1" s="1"/>
  <c r="Q179" i="1"/>
  <c r="Q245" i="1" s="1"/>
  <c r="R179" i="1"/>
  <c r="R245" i="1" s="1"/>
  <c r="S179" i="1"/>
  <c r="S245" i="1" s="1"/>
  <c r="D185" i="1"/>
  <c r="D246" i="1" s="1"/>
  <c r="E185" i="1"/>
  <c r="E246" i="1" s="1"/>
  <c r="F185" i="1"/>
  <c r="F246" i="1" s="1"/>
  <c r="G185" i="1"/>
  <c r="G246" i="1" s="1"/>
  <c r="J185" i="1"/>
  <c r="J246" i="1" s="1"/>
  <c r="K185" i="1"/>
  <c r="K246" i="1" s="1"/>
  <c r="L185" i="1"/>
  <c r="L246" i="1" s="1"/>
  <c r="M185" i="1"/>
  <c r="M246" i="1" s="1"/>
  <c r="P185" i="1"/>
  <c r="P246" i="1" s="1"/>
  <c r="Q185" i="1"/>
  <c r="Q246" i="1" s="1"/>
  <c r="R185" i="1"/>
  <c r="R246" i="1" s="1"/>
  <c r="S185" i="1"/>
  <c r="S246" i="1" s="1"/>
  <c r="D191" i="1"/>
  <c r="D247" i="1" s="1"/>
  <c r="E191" i="1"/>
  <c r="E247" i="1" s="1"/>
  <c r="F191" i="1"/>
  <c r="F247" i="1" s="1"/>
  <c r="G191" i="1"/>
  <c r="G247" i="1" s="1"/>
  <c r="J191" i="1"/>
  <c r="J247" i="1" s="1"/>
  <c r="K191" i="1"/>
  <c r="K247" i="1" s="1"/>
  <c r="L191" i="1"/>
  <c r="L247" i="1" s="1"/>
  <c r="M191" i="1"/>
  <c r="M247" i="1" s="1"/>
  <c r="P191" i="1"/>
  <c r="P247" i="1" s="1"/>
  <c r="Q191" i="1"/>
  <c r="Q247" i="1" s="1"/>
  <c r="R191" i="1"/>
  <c r="R247" i="1" s="1"/>
  <c r="S191" i="1"/>
  <c r="S247" i="1" s="1"/>
  <c r="D197" i="1"/>
  <c r="D248" i="1" s="1"/>
  <c r="E197" i="1"/>
  <c r="E248" i="1" s="1"/>
  <c r="F197" i="1"/>
  <c r="F248" i="1" s="1"/>
  <c r="G197" i="1"/>
  <c r="G248" i="1" s="1"/>
  <c r="J197" i="1"/>
  <c r="J248" i="1" s="1"/>
  <c r="K197" i="1"/>
  <c r="K248" i="1" s="1"/>
  <c r="L197" i="1"/>
  <c r="L248" i="1" s="1"/>
  <c r="M197" i="1"/>
  <c r="M248" i="1" s="1"/>
  <c r="P197" i="1"/>
  <c r="P248" i="1" s="1"/>
  <c r="Q197" i="1"/>
  <c r="Q248" i="1" s="1"/>
  <c r="R197" i="1"/>
  <c r="R248" i="1" s="1"/>
  <c r="S197" i="1"/>
  <c r="S248" i="1" s="1"/>
  <c r="D93" i="2"/>
  <c r="C93" i="2"/>
  <c r="E93" i="2"/>
  <c r="S238" i="3"/>
  <c r="S255" i="3" s="1"/>
  <c r="R238" i="3"/>
  <c r="R255" i="3" s="1"/>
  <c r="Q238" i="3"/>
  <c r="Q255" i="3" s="1"/>
  <c r="P238" i="3"/>
  <c r="P255" i="3" s="1"/>
  <c r="M238" i="3"/>
  <c r="M255" i="3" s="1"/>
  <c r="L238" i="3"/>
  <c r="L255" i="3" s="1"/>
  <c r="K238" i="3"/>
  <c r="K255" i="3" s="1"/>
  <c r="J238" i="3"/>
  <c r="J255" i="3" s="1"/>
  <c r="G238" i="3"/>
  <c r="G255" i="3" s="1"/>
  <c r="F238" i="3"/>
  <c r="F255" i="3" s="1"/>
  <c r="E238" i="3"/>
  <c r="E255" i="3" s="1"/>
  <c r="D238" i="3"/>
  <c r="D255" i="3" s="1"/>
  <c r="S254" i="3"/>
  <c r="R254" i="3"/>
  <c r="Q254" i="3"/>
  <c r="P254" i="3"/>
  <c r="M232" i="3"/>
  <c r="M254" i="3" s="1"/>
  <c r="L232" i="3"/>
  <c r="L254" i="3" s="1"/>
  <c r="K232" i="3"/>
  <c r="K254" i="3" s="1"/>
  <c r="J232" i="3"/>
  <c r="J254" i="3" s="1"/>
  <c r="G232" i="3"/>
  <c r="G254" i="3" s="1"/>
  <c r="F232" i="3"/>
  <c r="F254" i="3" s="1"/>
  <c r="E232" i="3"/>
  <c r="E254" i="3" s="1"/>
  <c r="D232" i="3"/>
  <c r="D254" i="3" s="1"/>
  <c r="S253" i="3"/>
  <c r="R253" i="3"/>
  <c r="Q253" i="3"/>
  <c r="P253" i="3"/>
  <c r="M226" i="3"/>
  <c r="M253" i="3" s="1"/>
  <c r="L226" i="3"/>
  <c r="L253" i="3" s="1"/>
  <c r="K226" i="3"/>
  <c r="K253" i="3" s="1"/>
  <c r="J226" i="3"/>
  <c r="J253" i="3" s="1"/>
  <c r="G226" i="3"/>
  <c r="G253" i="3" s="1"/>
  <c r="F226" i="3"/>
  <c r="F253" i="3" s="1"/>
  <c r="E226" i="3"/>
  <c r="E253" i="3" s="1"/>
  <c r="D226" i="3"/>
  <c r="D253" i="3" s="1"/>
  <c r="S252" i="3"/>
  <c r="R252" i="3"/>
  <c r="Q252" i="3"/>
  <c r="P252" i="3"/>
  <c r="M220" i="3"/>
  <c r="M252" i="3" s="1"/>
  <c r="L220" i="3"/>
  <c r="L252" i="3" s="1"/>
  <c r="K220" i="3"/>
  <c r="K252" i="3" s="1"/>
  <c r="J220" i="3"/>
  <c r="J252" i="3" s="1"/>
  <c r="G220" i="3"/>
  <c r="G252" i="3" s="1"/>
  <c r="F220" i="3"/>
  <c r="F252" i="3" s="1"/>
  <c r="E220" i="3"/>
  <c r="E252" i="3" s="1"/>
  <c r="D220" i="3"/>
  <c r="D252" i="3" s="1"/>
  <c r="S251" i="3"/>
  <c r="R251" i="3"/>
  <c r="Q251" i="3"/>
  <c r="P251" i="3"/>
  <c r="M214" i="3"/>
  <c r="M251" i="3" s="1"/>
  <c r="L214" i="3"/>
  <c r="L251" i="3" s="1"/>
  <c r="K214" i="3"/>
  <c r="K251" i="3" s="1"/>
  <c r="J214" i="3"/>
  <c r="J251" i="3" s="1"/>
  <c r="G214" i="3"/>
  <c r="G251" i="3" s="1"/>
  <c r="F214" i="3"/>
  <c r="F251" i="3" s="1"/>
  <c r="E214" i="3"/>
  <c r="E251" i="3" s="1"/>
  <c r="D214" i="3"/>
  <c r="D251" i="3" s="1"/>
  <c r="S250" i="3"/>
  <c r="R250" i="3"/>
  <c r="Q250" i="3"/>
  <c r="P250" i="3"/>
  <c r="M208" i="3"/>
  <c r="M250" i="3" s="1"/>
  <c r="L208" i="3"/>
  <c r="L250" i="3" s="1"/>
  <c r="K208" i="3"/>
  <c r="K250" i="3" s="1"/>
  <c r="J208" i="3"/>
  <c r="J250" i="3" s="1"/>
  <c r="G208" i="3"/>
  <c r="G250" i="3" s="1"/>
  <c r="F208" i="3"/>
  <c r="F250" i="3" s="1"/>
  <c r="E208" i="3"/>
  <c r="E250" i="3" s="1"/>
  <c r="D208" i="3"/>
  <c r="D250" i="3" s="1"/>
  <c r="S249" i="3"/>
  <c r="R249" i="3"/>
  <c r="Q249" i="3"/>
  <c r="P249" i="3"/>
  <c r="M249" i="3"/>
  <c r="L249" i="3"/>
  <c r="K249" i="3"/>
  <c r="J249" i="3"/>
  <c r="G198" i="3"/>
  <c r="G249" i="3" s="1"/>
  <c r="F198" i="3"/>
  <c r="F249" i="3" s="1"/>
  <c r="E198" i="3"/>
  <c r="E249" i="3" s="1"/>
  <c r="D198" i="3"/>
  <c r="D249" i="3" s="1"/>
  <c r="S248" i="3"/>
  <c r="R248" i="3"/>
  <c r="Q248" i="3"/>
  <c r="P248" i="3"/>
  <c r="M248" i="3"/>
  <c r="L248" i="3"/>
  <c r="K248" i="3"/>
  <c r="J248" i="3"/>
  <c r="G192" i="3"/>
  <c r="G248" i="3" s="1"/>
  <c r="F192" i="3"/>
  <c r="F248" i="3" s="1"/>
  <c r="E192" i="3"/>
  <c r="E248" i="3" s="1"/>
  <c r="D192" i="3"/>
  <c r="D248" i="3" s="1"/>
  <c r="S247" i="3"/>
  <c r="R247" i="3"/>
  <c r="Q247" i="3"/>
  <c r="P247" i="3"/>
  <c r="M247" i="3"/>
  <c r="L247" i="3"/>
  <c r="K247" i="3"/>
  <c r="J247" i="3"/>
  <c r="G186" i="3"/>
  <c r="G247" i="3" s="1"/>
  <c r="F186" i="3"/>
  <c r="F247" i="3" s="1"/>
  <c r="E186" i="3"/>
  <c r="E247" i="3" s="1"/>
  <c r="D186" i="3"/>
  <c r="D247" i="3" s="1"/>
  <c r="S246" i="3"/>
  <c r="R246" i="3"/>
  <c r="Q246" i="3"/>
  <c r="P246" i="3"/>
  <c r="M246" i="3"/>
  <c r="L246" i="3"/>
  <c r="K246" i="3"/>
  <c r="J246" i="3"/>
  <c r="G180" i="3"/>
  <c r="G246" i="3" s="1"/>
  <c r="F180" i="3"/>
  <c r="F246" i="3" s="1"/>
  <c r="E180" i="3"/>
  <c r="E246" i="3" s="1"/>
  <c r="D180" i="3"/>
  <c r="D246" i="3" s="1"/>
  <c r="S245" i="3"/>
  <c r="R245" i="3"/>
  <c r="Q245" i="3"/>
  <c r="P245" i="3"/>
  <c r="M245" i="3"/>
  <c r="L245" i="3"/>
  <c r="K245" i="3"/>
  <c r="J245" i="3"/>
  <c r="G174" i="3"/>
  <c r="G245" i="3" s="1"/>
  <c r="F174" i="3"/>
  <c r="F245" i="3" s="1"/>
  <c r="E174" i="3"/>
  <c r="E245" i="3" s="1"/>
  <c r="D174" i="3"/>
  <c r="D245" i="3" s="1"/>
  <c r="S244" i="3"/>
  <c r="R244" i="3"/>
  <c r="Q244" i="3"/>
  <c r="P244" i="3"/>
  <c r="M244" i="3"/>
  <c r="L244" i="3"/>
  <c r="K244" i="3"/>
  <c r="J244" i="3"/>
  <c r="G168" i="3"/>
  <c r="G244" i="3" s="1"/>
  <c r="F168" i="3"/>
  <c r="F244" i="3" s="1"/>
  <c r="E168" i="3"/>
  <c r="E244" i="3" s="1"/>
  <c r="D168" i="3"/>
  <c r="D244" i="3" s="1"/>
  <c r="M157" i="3"/>
  <c r="L157" i="3"/>
  <c r="I157" i="3"/>
  <c r="H157" i="3"/>
  <c r="E157" i="3"/>
  <c r="D157" i="3"/>
  <c r="M151" i="3"/>
  <c r="L151" i="3"/>
  <c r="I151" i="3"/>
  <c r="H151" i="3"/>
  <c r="E151" i="3"/>
  <c r="D151" i="3"/>
  <c r="L156" i="1"/>
  <c r="K156" i="1"/>
  <c r="H156" i="1"/>
  <c r="G156" i="1"/>
  <c r="D156" i="1"/>
  <c r="C156" i="1"/>
  <c r="L150" i="1"/>
  <c r="K150" i="1"/>
  <c r="H150" i="1"/>
  <c r="G150" i="1"/>
  <c r="D150" i="1"/>
  <c r="C150" i="1"/>
  <c r="O93" i="2"/>
  <c r="N93" i="2"/>
  <c r="M93" i="2"/>
  <c r="J93" i="2"/>
  <c r="I93" i="2"/>
  <c r="H93" i="2"/>
  <c r="E81" i="2"/>
  <c r="D81" i="2"/>
  <c r="C81" i="2"/>
  <c r="O75" i="2"/>
  <c r="N75" i="2"/>
  <c r="M75" i="2"/>
  <c r="J75" i="2"/>
  <c r="I75" i="2"/>
  <c r="H75" i="2"/>
  <c r="E75" i="2"/>
  <c r="D75" i="2"/>
  <c r="C75" i="2"/>
  <c r="J27" i="2"/>
  <c r="H27" i="2"/>
  <c r="I27" i="2"/>
  <c r="M141" i="3"/>
  <c r="L141" i="3"/>
  <c r="I141" i="3"/>
  <c r="H141" i="3"/>
  <c r="E141" i="3"/>
  <c r="D141" i="3"/>
  <c r="M135" i="3"/>
  <c r="L135" i="3"/>
  <c r="I135" i="3"/>
  <c r="H135" i="3"/>
  <c r="E135" i="3"/>
  <c r="D135" i="3"/>
  <c r="L139" i="1"/>
  <c r="K139" i="1"/>
  <c r="L133" i="1"/>
  <c r="K133" i="1"/>
  <c r="H139" i="1"/>
  <c r="G139" i="1"/>
  <c r="H133" i="1"/>
  <c r="G133" i="1"/>
  <c r="D139" i="1"/>
  <c r="C139" i="1"/>
  <c r="D133" i="1"/>
  <c r="C133" i="1"/>
  <c r="H62" i="2"/>
  <c r="I62" i="2"/>
  <c r="J62" i="2"/>
  <c r="T9" i="2"/>
  <c r="U9" i="2"/>
  <c r="S9" i="2"/>
  <c r="E44" i="2"/>
  <c r="D44" i="2"/>
  <c r="C44" i="2"/>
  <c r="J44" i="2"/>
  <c r="I44" i="2"/>
  <c r="H44" i="2"/>
  <c r="N44" i="2"/>
  <c r="O44" i="2"/>
  <c r="M44" i="2"/>
  <c r="N56" i="2"/>
  <c r="O56" i="2"/>
  <c r="M56" i="2"/>
  <c r="D62" i="2"/>
  <c r="D63" i="2" s="1"/>
  <c r="E62" i="2"/>
  <c r="C62" i="2"/>
  <c r="D50" i="2"/>
  <c r="E50" i="2"/>
  <c r="C50" i="2"/>
  <c r="I50" i="2"/>
  <c r="J50" i="2"/>
  <c r="H50" i="2"/>
  <c r="E56" i="2"/>
  <c r="D56" i="2"/>
  <c r="C56" i="2"/>
  <c r="J56" i="2"/>
  <c r="I56" i="2"/>
  <c r="H56" i="2"/>
  <c r="O50" i="2"/>
  <c r="N50" i="2"/>
  <c r="M50" i="2"/>
  <c r="O62" i="2"/>
  <c r="N62" i="2"/>
  <c r="M62" i="2"/>
  <c r="M21" i="2"/>
  <c r="N21" i="2"/>
  <c r="J21" i="2"/>
  <c r="H21" i="2"/>
  <c r="I21" i="2"/>
  <c r="C27" i="2"/>
  <c r="D27" i="2"/>
  <c r="E27" i="2"/>
  <c r="O15" i="2"/>
  <c r="N15" i="2"/>
  <c r="M15" i="2"/>
  <c r="O21" i="2"/>
  <c r="D33" i="2"/>
  <c r="D32" i="2"/>
  <c r="D31" i="2"/>
  <c r="J81" i="1"/>
  <c r="I81" i="1"/>
  <c r="H81" i="1"/>
  <c r="E81" i="1"/>
  <c r="D81" i="1"/>
  <c r="C81" i="1"/>
  <c r="K78" i="3"/>
  <c r="J78" i="3"/>
  <c r="I78" i="3"/>
  <c r="F78" i="3"/>
  <c r="E78" i="3"/>
  <c r="D78" i="3"/>
  <c r="P96" i="3"/>
  <c r="O96" i="3"/>
  <c r="N96" i="3"/>
  <c r="K96" i="3"/>
  <c r="J96" i="3"/>
  <c r="I96" i="3"/>
  <c r="F96" i="3"/>
  <c r="E96" i="3"/>
  <c r="D96" i="3"/>
  <c r="P90" i="3"/>
  <c r="O90" i="3"/>
  <c r="N90" i="3"/>
  <c r="K90" i="3"/>
  <c r="J90" i="3"/>
  <c r="I90" i="3"/>
  <c r="F90" i="3"/>
  <c r="E90" i="3"/>
  <c r="D90" i="3"/>
  <c r="P84" i="3"/>
  <c r="O84" i="3"/>
  <c r="N84" i="3"/>
  <c r="K84" i="3"/>
  <c r="J84" i="3"/>
  <c r="I84" i="3"/>
  <c r="F84" i="3"/>
  <c r="E84" i="3"/>
  <c r="D84" i="3"/>
  <c r="P78" i="3"/>
  <c r="O78" i="3"/>
  <c r="N78" i="3"/>
  <c r="O93" i="1"/>
  <c r="N93" i="1"/>
  <c r="M93" i="1"/>
  <c r="J93" i="1"/>
  <c r="I93" i="1"/>
  <c r="H93" i="1"/>
  <c r="E93" i="1"/>
  <c r="D93" i="1"/>
  <c r="C93" i="1"/>
  <c r="O87" i="1"/>
  <c r="N87" i="1"/>
  <c r="M87" i="1"/>
  <c r="J87" i="1"/>
  <c r="I87" i="1"/>
  <c r="H87" i="1"/>
  <c r="E87" i="1"/>
  <c r="D87" i="1"/>
  <c r="C87" i="1"/>
  <c r="O81" i="1"/>
  <c r="N81" i="1"/>
  <c r="M81" i="1"/>
  <c r="O75" i="1"/>
  <c r="N75" i="1"/>
  <c r="M75" i="1"/>
  <c r="J75" i="1"/>
  <c r="I75" i="1"/>
  <c r="H75" i="1"/>
  <c r="E75" i="1"/>
  <c r="D75" i="1"/>
  <c r="C75" i="1"/>
  <c r="O27" i="2"/>
  <c r="N27" i="2"/>
  <c r="M27" i="2"/>
  <c r="E21" i="2"/>
  <c r="D21" i="2"/>
  <c r="C21" i="2"/>
  <c r="J15" i="2"/>
  <c r="I15" i="2"/>
  <c r="H15" i="2"/>
  <c r="E15" i="2"/>
  <c r="D15" i="2"/>
  <c r="C15" i="2"/>
  <c r="O9" i="2"/>
  <c r="N9" i="2"/>
  <c r="M9" i="2"/>
  <c r="J9" i="2"/>
  <c r="I9" i="2"/>
  <c r="H9" i="2"/>
  <c r="E9" i="2"/>
  <c r="D9" i="2"/>
  <c r="C9" i="2"/>
  <c r="J121" i="1"/>
  <c r="I121" i="1"/>
  <c r="H121" i="1"/>
  <c r="E121" i="1"/>
  <c r="D121" i="1"/>
  <c r="C121" i="1"/>
  <c r="O115" i="1"/>
  <c r="N115" i="1"/>
  <c r="M115" i="1"/>
  <c r="J115" i="1"/>
  <c r="I115" i="1"/>
  <c r="H115" i="1"/>
  <c r="E115" i="1"/>
  <c r="D115" i="1"/>
  <c r="C115" i="1"/>
  <c r="P117" i="3"/>
  <c r="O117" i="3"/>
  <c r="N117" i="3"/>
  <c r="K123" i="3"/>
  <c r="J123" i="3"/>
  <c r="I123" i="3"/>
  <c r="F123" i="3"/>
  <c r="E123" i="3"/>
  <c r="D123" i="3"/>
  <c r="K117" i="3"/>
  <c r="J117" i="3"/>
  <c r="I117" i="3"/>
  <c r="F117" i="3"/>
  <c r="E117" i="3"/>
  <c r="D117" i="3"/>
  <c r="J109" i="1"/>
  <c r="I109" i="1"/>
  <c r="H109" i="1"/>
  <c r="E109" i="1"/>
  <c r="D109" i="1"/>
  <c r="C109" i="1"/>
  <c r="P111" i="3"/>
  <c r="O111" i="3"/>
  <c r="N111" i="3"/>
  <c r="K111" i="3"/>
  <c r="J111" i="3"/>
  <c r="I111" i="3"/>
  <c r="F111" i="3"/>
  <c r="E111" i="3"/>
  <c r="D111" i="3"/>
  <c r="P105" i="3"/>
  <c r="O105" i="3"/>
  <c r="N105" i="3"/>
  <c r="K105" i="3"/>
  <c r="J105" i="3"/>
  <c r="I105" i="3"/>
  <c r="F105" i="3"/>
  <c r="E105" i="3"/>
  <c r="D105" i="3"/>
  <c r="O109" i="1"/>
  <c r="N109" i="1"/>
  <c r="M109" i="1"/>
  <c r="O103" i="1"/>
  <c r="N103" i="1"/>
  <c r="M103" i="1"/>
  <c r="J103" i="1"/>
  <c r="I103" i="1"/>
  <c r="H103" i="1"/>
  <c r="E103" i="1"/>
  <c r="D103" i="1"/>
  <c r="C103" i="1"/>
  <c r="O58" i="1"/>
  <c r="N58" i="1"/>
  <c r="M58" i="1"/>
  <c r="J58" i="1"/>
  <c r="I58" i="1"/>
  <c r="H58" i="1"/>
  <c r="E58" i="1"/>
  <c r="D58" i="1"/>
  <c r="C58" i="1"/>
  <c r="P63" i="3"/>
  <c r="O63" i="3"/>
  <c r="N63" i="3"/>
  <c r="K63" i="3"/>
  <c r="J63" i="3"/>
  <c r="I63" i="3"/>
  <c r="F63" i="3"/>
  <c r="E63" i="3"/>
  <c r="D63" i="3"/>
  <c r="P57" i="3"/>
  <c r="O57" i="3"/>
  <c r="N57" i="3"/>
  <c r="K57" i="3"/>
  <c r="J57" i="3"/>
  <c r="I57" i="3"/>
  <c r="F57" i="3"/>
  <c r="E57" i="3"/>
  <c r="D57" i="3"/>
  <c r="P51" i="3"/>
  <c r="O51" i="3"/>
  <c r="N51" i="3"/>
  <c r="K51" i="3"/>
  <c r="J51" i="3"/>
  <c r="I51" i="3"/>
  <c r="F51" i="3"/>
  <c r="E51" i="3"/>
  <c r="D51" i="3"/>
  <c r="P45" i="3"/>
  <c r="O45" i="3"/>
  <c r="N45" i="3"/>
  <c r="K45" i="3"/>
  <c r="J45" i="3"/>
  <c r="I45" i="3"/>
  <c r="F45" i="3"/>
  <c r="E45" i="3"/>
  <c r="D45" i="3"/>
  <c r="O64" i="1"/>
  <c r="N64" i="1"/>
  <c r="M64" i="1"/>
  <c r="J64" i="1"/>
  <c r="I64" i="1"/>
  <c r="H64" i="1"/>
  <c r="E64" i="1"/>
  <c r="D64" i="1"/>
  <c r="C64" i="1"/>
  <c r="O52" i="1"/>
  <c r="N52" i="1"/>
  <c r="M52" i="1"/>
  <c r="J52" i="1"/>
  <c r="I52" i="1"/>
  <c r="H52" i="1"/>
  <c r="E52" i="1"/>
  <c r="D52" i="1"/>
  <c r="C52" i="1"/>
  <c r="O46" i="1"/>
  <c r="N46" i="1"/>
  <c r="M46" i="1"/>
  <c r="J46" i="1"/>
  <c r="I46" i="1"/>
  <c r="H46" i="1"/>
  <c r="E46" i="1"/>
  <c r="D46" i="1"/>
  <c r="C46" i="1"/>
  <c r="E34" i="3"/>
  <c r="E33" i="3"/>
  <c r="E32" i="3"/>
  <c r="E31" i="3"/>
  <c r="P27" i="3"/>
  <c r="O27" i="3"/>
  <c r="N27" i="3"/>
  <c r="K27" i="3"/>
  <c r="J27" i="3"/>
  <c r="I27" i="3"/>
  <c r="F27" i="3"/>
  <c r="E27" i="3"/>
  <c r="D27" i="3"/>
  <c r="P21" i="3"/>
  <c r="O21" i="3"/>
  <c r="N21" i="3"/>
  <c r="K21" i="3"/>
  <c r="J21" i="3"/>
  <c r="I21" i="3"/>
  <c r="F21" i="3"/>
  <c r="E21" i="3"/>
  <c r="D21" i="3"/>
  <c r="P15" i="3"/>
  <c r="O15" i="3"/>
  <c r="N15" i="3"/>
  <c r="K15" i="3"/>
  <c r="J15" i="3"/>
  <c r="I15" i="3"/>
  <c r="F15" i="3"/>
  <c r="E15" i="3"/>
  <c r="D15" i="3"/>
  <c r="P9" i="3"/>
  <c r="O9" i="3"/>
  <c r="N9" i="3"/>
  <c r="K9" i="3"/>
  <c r="J9" i="3"/>
  <c r="I9" i="3"/>
  <c r="F9" i="3"/>
  <c r="E9" i="3"/>
  <c r="D9" i="3"/>
  <c r="E10" i="1"/>
  <c r="G33" i="1"/>
  <c r="G34" i="1"/>
  <c r="G35" i="1"/>
  <c r="G32" i="1"/>
  <c r="D33" i="1"/>
  <c r="D34" i="1"/>
  <c r="D35" i="1"/>
  <c r="D32" i="1"/>
  <c r="O22" i="1"/>
  <c r="O28" i="1"/>
  <c r="N28" i="1"/>
  <c r="M28" i="1"/>
  <c r="N22" i="1"/>
  <c r="M22" i="1"/>
  <c r="O16" i="1"/>
  <c r="N16" i="1"/>
  <c r="M16" i="1"/>
  <c r="O10" i="1"/>
  <c r="N10" i="1"/>
  <c r="M10" i="1"/>
  <c r="J28" i="1"/>
  <c r="I28" i="1"/>
  <c r="H28" i="1"/>
  <c r="J22" i="1"/>
  <c r="I22" i="1"/>
  <c r="H22" i="1"/>
  <c r="J16" i="1"/>
  <c r="I16" i="1"/>
  <c r="H16" i="1"/>
  <c r="J10" i="1"/>
  <c r="I10" i="1"/>
  <c r="H10" i="1"/>
  <c r="E28" i="1"/>
  <c r="D28" i="1"/>
  <c r="C28" i="1"/>
  <c r="E22" i="1"/>
  <c r="D22" i="1"/>
  <c r="C22" i="1"/>
  <c r="E16" i="1"/>
  <c r="D16" i="1"/>
  <c r="C16" i="1"/>
  <c r="D10" i="1"/>
  <c r="C10" i="1"/>
  <c r="E28" i="2" l="1"/>
  <c r="D28" i="2"/>
  <c r="D94" i="2"/>
  <c r="AN365" i="2"/>
  <c r="AM371" i="2"/>
  <c r="AN371" i="2"/>
  <c r="AM377" i="2"/>
  <c r="AN377" i="2"/>
  <c r="AM395" i="2"/>
  <c r="AN395" i="2"/>
  <c r="AM389" i="2"/>
  <c r="AN389" i="2"/>
  <c r="AM383" i="2"/>
  <c r="AN383" i="2"/>
  <c r="AM406" i="2"/>
  <c r="AN406" i="2"/>
  <c r="AM412" i="2"/>
  <c r="AN412" i="2"/>
  <c r="AM418" i="2"/>
  <c r="AN418" i="2"/>
  <c r="AM424" i="2"/>
  <c r="AN424" i="2"/>
  <c r="AM430" i="2"/>
  <c r="AN430" i="2"/>
  <c r="AM436" i="2"/>
  <c r="AN436" i="2"/>
  <c r="G59" i="4"/>
  <c r="J39" i="4"/>
  <c r="J36" i="4"/>
  <c r="J38" i="4"/>
  <c r="K41" i="4" s="1"/>
  <c r="J37" i="4"/>
  <c r="J35" i="4"/>
  <c r="J34" i="4"/>
  <c r="M23" i="4"/>
  <c r="P23" i="4" s="1"/>
  <c r="L23" i="4"/>
  <c r="L24" i="4"/>
  <c r="M24" i="4"/>
  <c r="P24" i="4" s="1"/>
  <c r="L25" i="4"/>
  <c r="M25" i="4"/>
  <c r="P25" i="4" s="1"/>
  <c r="M26" i="4"/>
  <c r="P26" i="4" s="1"/>
  <c r="L26" i="4"/>
  <c r="M27" i="4"/>
  <c r="P27" i="4" s="1"/>
  <c r="L27" i="4"/>
  <c r="M28" i="4"/>
  <c r="P28" i="4" s="1"/>
  <c r="L28" i="4"/>
  <c r="D346" i="1"/>
  <c r="E346" i="1"/>
  <c r="F346" i="1"/>
  <c r="G346" i="1"/>
  <c r="D348" i="1"/>
  <c r="E348" i="1"/>
  <c r="F348" i="1"/>
  <c r="G348" i="1"/>
  <c r="D349" i="1"/>
  <c r="E349" i="1"/>
  <c r="F349" i="1"/>
  <c r="G349" i="1"/>
  <c r="D350" i="1"/>
  <c r="E350" i="1"/>
  <c r="F350" i="1"/>
  <c r="G350" i="1"/>
  <c r="H32" i="1"/>
  <c r="H35" i="1"/>
  <c r="H34" i="1"/>
  <c r="H33" i="1"/>
  <c r="F31" i="2"/>
  <c r="E31" i="2"/>
  <c r="F32" i="2"/>
  <c r="E32" i="2"/>
  <c r="F33" i="2"/>
  <c r="E33" i="2"/>
  <c r="F34" i="2"/>
  <c r="E34" i="2"/>
  <c r="F32" i="1"/>
  <c r="E32" i="1"/>
  <c r="F35" i="1"/>
  <c r="E35" i="1"/>
  <c r="F34" i="1"/>
  <c r="E34" i="1"/>
  <c r="F33" i="1"/>
  <c r="E33" i="1"/>
  <c r="G31" i="3"/>
  <c r="F31" i="3"/>
  <c r="G32" i="3"/>
  <c r="F32" i="3"/>
  <c r="G33" i="3"/>
  <c r="F33" i="3"/>
  <c r="G34" i="3"/>
  <c r="F34" i="3"/>
  <c r="N28" i="4" l="1"/>
  <c r="O28" i="4"/>
  <c r="N25" i="4"/>
  <c r="O25" i="4"/>
  <c r="N34" i="4"/>
  <c r="M34" i="4"/>
  <c r="N35" i="4"/>
  <c r="M35" i="4"/>
  <c r="N37" i="4"/>
  <c r="M37" i="4"/>
  <c r="N38" i="4"/>
  <c r="M38" i="4"/>
  <c r="N36" i="4"/>
  <c r="M36" i="4"/>
  <c r="O36" i="4" s="1"/>
  <c r="N39" i="4"/>
  <c r="M39" i="4"/>
</calcChain>
</file>

<file path=xl/sharedStrings.xml><?xml version="1.0" encoding="utf-8"?>
<sst xmlns="http://schemas.openxmlformats.org/spreadsheetml/2006/main" count="1947" uniqueCount="154">
  <si>
    <t>MNIST 0-4 vs. 5-9 Layer = 1</t>
  </si>
  <si>
    <t>MNIST 0-4 vs. 5-9 Layer = 2</t>
  </si>
  <si>
    <t>MNIST 0-4 vs. 5-9 Layer = 3</t>
  </si>
  <si>
    <t>N</t>
  </si>
  <si>
    <t>Seed</t>
  </si>
  <si>
    <t>Validation Accuracy [%]</t>
  </si>
  <si>
    <t>Test Accuracy [%]</t>
  </si>
  <si>
    <t>F1 score</t>
  </si>
  <si>
    <t>Average</t>
  </si>
  <si>
    <t>TOO LARGE!
MY LAPTOP OVERHEATS...</t>
  </si>
  <si>
    <t>MZI number - single</t>
  </si>
  <si>
    <t>double</t>
  </si>
  <si>
    <t>triple</t>
  </si>
  <si>
    <t>Wasted</t>
  </si>
  <si>
    <t>16x16 triple layer has the same level of accuracy as 32x32 double layer, but 2.75 times fewer MZIs</t>
  </si>
  <si>
    <t>CIFAR-10 vehicle vs. animal Layer = 1</t>
  </si>
  <si>
    <t>CIFAR-10 vehicle vs. animal Layer = 2</t>
  </si>
  <si>
    <t>CIFAR-10 vehicle vs. animal Layer = 3</t>
  </si>
  <si>
    <t>INPUT</t>
  </si>
  <si>
    <t>sqrt([0,10/N])</t>
  </si>
  <si>
    <t>Accuracy (final)</t>
  </si>
  <si>
    <t xml:space="preserve">Retrained with training + validation </t>
  </si>
  <si>
    <t>Optimization</t>
  </si>
  <si>
    <t>beta</t>
  </si>
  <si>
    <t>#FN</t>
  </si>
  <si>
    <t>p(trigger)</t>
  </si>
  <si>
    <t>Concluded</t>
  </si>
  <si>
    <t>Accuracy</t>
  </si>
  <si>
    <t>Take 5% reduction in accuracy as a threshold -&gt; beta = [1, 1.2, 1.4]</t>
  </si>
  <si>
    <t>Post-Training Quantization</t>
  </si>
  <si>
    <t>bit = 4</t>
  </si>
  <si>
    <t>bit = 6</t>
  </si>
  <si>
    <t>bit = 8</t>
  </si>
  <si>
    <t>bit = 10</t>
  </si>
  <si>
    <t>bit = 12</t>
  </si>
  <si>
    <t>bit = 14</t>
  </si>
  <si>
    <t>bit = 16</t>
  </si>
  <si>
    <t>bit=10</t>
  </si>
  <si>
    <t>Sensitivity Analysis</t>
  </si>
  <si>
    <t>10-bit</t>
  </si>
  <si>
    <t>Relative FoM (75% of max. accuracy)</t>
  </si>
  <si>
    <t>Definite FoM (60%)</t>
  </si>
  <si>
    <t>8-bit</t>
  </si>
  <si>
    <t>PT FoM</t>
  </si>
  <si>
    <t>LPU FoM</t>
  </si>
  <si>
    <t>Relative</t>
  </si>
  <si>
    <t>Definite</t>
  </si>
  <si>
    <t>Clements</t>
  </si>
  <si>
    <t>std</t>
  </si>
  <si>
    <t>beta=1.2</t>
  </si>
  <si>
    <t>CIFAR-10 vehicle vs. animal Layer = 1 (No EO)</t>
  </si>
  <si>
    <t>drill6</t>
  </si>
  <si>
    <t>drill5</t>
  </si>
  <si>
    <t>drill4</t>
  </si>
  <si>
    <t>drill3</t>
  </si>
  <si>
    <t>drill2</t>
  </si>
  <si>
    <t>drill</t>
  </si>
  <si>
    <t>triangle</t>
  </si>
  <si>
    <t>miniBokun</t>
  </si>
  <si>
    <t>MZI count = 2 + 3 + ... + N/2 + (N/2-1) + (N/2 - 2)</t>
  </si>
  <si>
    <t>CIFAR 0-4 vs. 5-9 Layer = 1</t>
  </si>
  <si>
    <t>CIFAR 0-4 vs. 5-9 Layer = 2</t>
  </si>
  <si>
    <t>CIFAR 0-4 vs. 5-9 Layer = 3</t>
  </si>
  <si>
    <t>with seed 0</t>
  </si>
  <si>
    <t>absolute (60.0%) with seed 0</t>
  </si>
  <si>
    <t>accuracy increase</t>
  </si>
  <si>
    <t>Reck</t>
  </si>
  <si>
    <t>MiniBokun</t>
  </si>
  <si>
    <t>MNIST</t>
  </si>
  <si>
    <t>CIFAR</t>
  </si>
  <si>
    <t>Per channel power</t>
  </si>
  <si>
    <t>Overall accuracy table</t>
  </si>
  <si>
    <t>Topology</t>
  </si>
  <si>
    <t>Beta</t>
  </si>
  <si>
    <t>N=8</t>
  </si>
  <si>
    <t>N=16</t>
  </si>
  <si>
    <t xml:space="preserve">MNIST </t>
  </si>
  <si>
    <t>CIFAR-10</t>
  </si>
  <si>
    <t>Accuracy [%]</t>
  </si>
  <si>
    <t>8x8</t>
  </si>
  <si>
    <t>16x16</t>
  </si>
  <si>
    <t>memory</t>
  </si>
  <si>
    <t>DRAM</t>
  </si>
  <si>
    <t>64 KB</t>
  </si>
  <si>
    <t>8k inputs</t>
  </si>
  <si>
    <t>4k inputs</t>
  </si>
  <si>
    <t>SRAM</t>
  </si>
  <si>
    <t>16 KB</t>
  </si>
  <si>
    <t>571 matrices</t>
  </si>
  <si>
    <t>130 matrices</t>
  </si>
  <si>
    <t>N=8, beta=1.2, PT</t>
  </si>
  <si>
    <t>N=8, beta=1.2, LPU</t>
  </si>
  <si>
    <t>Programming</t>
  </si>
  <si>
    <t>power = (# MZIs / 2)*P_pi</t>
  </si>
  <si>
    <t>Assuming uniformly distributed weight</t>
  </si>
  <si>
    <t>P_pi</t>
  </si>
  <si>
    <t>21 mW</t>
  </si>
  <si>
    <t>Clements/Reck</t>
  </si>
  <si>
    <t>Mini Bokun</t>
  </si>
  <si>
    <t>1.42 mW</t>
  </si>
  <si>
    <t>N=16, beta=1.2, LPU</t>
  </si>
  <si>
    <t>Power [mW]</t>
  </si>
  <si>
    <t>P_laser</t>
  </si>
  <si>
    <t>P_memory</t>
  </si>
  <si>
    <t>P_DAC</t>
  </si>
  <si>
    <t>P_ip 
modulation</t>
  </si>
  <si>
    <t>P_programming</t>
  </si>
  <si>
    <t>P_PD+TIA</t>
  </si>
  <si>
    <t>P_comp
+ADC</t>
  </si>
  <si>
    <t>Total Power [mW]</t>
  </si>
  <si>
    <t>Fast</t>
  </si>
  <si>
    <t>Low-power</t>
  </si>
  <si>
    <t>w/o insulation</t>
  </si>
  <si>
    <t>w/ insulation</t>
  </si>
  <si>
    <t>Min</t>
  </si>
  <si>
    <t>Max</t>
  </si>
  <si>
    <t>Latency [us]</t>
  </si>
  <si>
    <t>L_memory</t>
  </si>
  <si>
    <t>L_DAC</t>
  </si>
  <si>
    <t>L_ip 
modulation</t>
  </si>
  <si>
    <t>L_programming</t>
  </si>
  <si>
    <t>L_MZI</t>
  </si>
  <si>
    <t>L_PD+TIA</t>
  </si>
  <si>
    <t>L_comp
+ADC</t>
  </si>
  <si>
    <t>Total Latency [us]</t>
  </si>
  <si>
    <t>c0</t>
  </si>
  <si>
    <t>n_eff</t>
  </si>
  <si>
    <t>V_g</t>
  </si>
  <si>
    <t>L per MZI</t>
  </si>
  <si>
    <t>Area [mm^2]</t>
  </si>
  <si>
    <t># DC</t>
  </si>
  <si>
    <t># PS</t>
  </si>
  <si>
    <t>um</t>
  </si>
  <si>
    <t>um^2</t>
  </si>
  <si>
    <t>Equation (coeff)</t>
  </si>
  <si>
    <t>Component</t>
  </si>
  <si>
    <t>Length</t>
  </si>
  <si>
    <t>Width</t>
  </si>
  <si>
    <t>Area</t>
  </si>
  <si>
    <t>N^2-2N</t>
  </si>
  <si>
    <t>3dB coupler</t>
  </si>
  <si>
    <t>2N^2-5N+3</t>
  </si>
  <si>
    <t>PS</t>
  </si>
  <si>
    <t>0.5N^2-0.5N-1</t>
  </si>
  <si>
    <t>combiner</t>
  </si>
  <si>
    <t>OFFT</t>
  </si>
  <si>
    <t>(they are not for trigger structure)</t>
  </si>
  <si>
    <t>Crossing</t>
  </si>
  <si>
    <t>ours</t>
  </si>
  <si>
    <t>MZI</t>
  </si>
  <si>
    <t>OFFT considers only up to 8</t>
  </si>
  <si>
    <t>Final Table</t>
  </si>
  <si>
    <t>Aggressive</t>
  </si>
  <si>
    <t>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</si>
</sst>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3" borderId="0" xfId="0" applyFill="1"/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4" fillId="0" borderId="16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4" fontId="0" fillId="0" borderId="0" xfId="0" applyNumberFormat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/>
    </xf>
    <xf numFmtId="11" fontId="0" fillId="0" borderId="17" xfId="0" applyNumberFormat="1" applyBorder="1" applyAlignment="1">
      <alignment horizontal="center" vertical="center"/>
    </xf>
    <xf numFmtId="0" fontId="5" fillId="0" borderId="0" xfId="0" applyFont="1"/>
    <xf numFmtId="164" fontId="1" fillId="0" borderId="5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65" fontId="0" fillId="0" borderId="5" xfId="0" applyNumberFormat="1" applyBorder="1" applyAlignment="1">
      <alignment horizontal="center" vertical="center"/>
    </xf>
    <xf numFmtId="0" fontId="0" fillId="0" borderId="2" xfId="0" applyBorder="1"/>
    <xf numFmtId="11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3" xfId="0" applyBorder="1"/>
    <xf numFmtId="0" fontId="0" fillId="0" borderId="7" xfId="0" applyBorder="1"/>
    <xf numFmtId="2" fontId="0" fillId="0" borderId="5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wrapText="1"/>
    </xf>
    <xf numFmtId="0" fontId="0" fillId="0" borderId="0" xfId="0"/>
    <xf numFmtId="0" fontId="0" fillId="0" borderId="1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Programming Power vs.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'power-latency-area'!$B$10</c:f>
              <c:strCache>
                <c:ptCount val="1"/>
                <c:pt idx="0">
                  <c:v>Clements/Reck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'power-latency-area'!$C$9:$G$9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'power-latency-area'!$C$10:$G$10</c:f>
              <c:numCache>
                <c:formatCode>General</c:formatCode>
                <c:ptCount val="5"/>
                <c:pt idx="0">
                  <c:v>294</c:v>
                </c:pt>
                <c:pt idx="1">
                  <c:v>1260</c:v>
                </c:pt>
                <c:pt idx="2">
                  <c:v>5208</c:v>
                </c:pt>
                <c:pt idx="3">
                  <c:v>21168</c:v>
                </c:pt>
                <c:pt idx="4">
                  <c:v>85344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A2-458C-A2EF-C7E9E237DAFB}"/>
            </c:ext>
          </c:extLst>
        </c:ser>
        <c:ser>
          <c:idx val="2"/>
          <c:order val="1"/>
          <c:tx>
            <c:strRef>
              <c:f>'power-latency-area'!$B$11</c:f>
              <c:strCache>
                <c:ptCount val="1"/>
                <c:pt idx="0">
                  <c:v>Mini Bokun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'power-latency-area'!$C$9:$G$9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'power-latency-area'!$C$11:$G$11</c:f>
              <c:numCache>
                <c:formatCode>General</c:formatCode>
                <c:ptCount val="5"/>
                <c:pt idx="0">
                  <c:v>147</c:v>
                </c:pt>
                <c:pt idx="1">
                  <c:v>504</c:v>
                </c:pt>
                <c:pt idx="2">
                  <c:v>1722</c:v>
                </c:pt>
                <c:pt idx="3">
                  <c:v>6174</c:v>
                </c:pt>
                <c:pt idx="4">
                  <c:v>23142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A2-458C-A2EF-C7E9E237D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565448"/>
        <c:axId val="301567496"/>
      </c:lineChart>
      <c:catAx>
        <c:axId val="30156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67496"/>
        <c:crosses val="autoZero"/>
        <c:auto val="1"/>
        <c:lblAlgn val="ctr"/>
        <c:lblOffset val="100"/>
        <c:noMultiLvlLbl val="0"/>
      </c:catAx>
      <c:valAx>
        <c:axId val="30156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6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0</xdr:row>
      <xdr:rowOff>85725</xdr:rowOff>
    </xdr:from>
    <xdr:to>
      <xdr:col>14</xdr:col>
      <xdr:colOff>504825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BA6C5-530B-584F-9078-AB3BE1385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314325</xdr:colOff>
      <xdr:row>42</xdr:row>
      <xdr:rowOff>123825</xdr:rowOff>
    </xdr:from>
    <xdr:to>
      <xdr:col>13</xdr:col>
      <xdr:colOff>533400</xdr:colOff>
      <xdr:row>55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DEF3B8-B174-817B-7B40-6D72C46762F7}"/>
            </a:ext>
            <a:ext uri="{147F2762-F138-4A5C-976F-8EAC2B608ADB}">
              <a16:predDERef xmlns:a16="http://schemas.microsoft.com/office/drawing/2014/main" pred="{921BA6C5-530B-584F-9078-AB3BE138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812482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15</xdr:col>
      <xdr:colOff>447675</xdr:colOff>
      <xdr:row>0</xdr:row>
      <xdr:rowOff>0</xdr:rowOff>
    </xdr:from>
    <xdr:to>
      <xdr:col>21</xdr:col>
      <xdr:colOff>180975</xdr:colOff>
      <xdr:row>13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822727-A5DC-C23C-9BB6-5331445F488F}"/>
            </a:ext>
            <a:ext uri="{147F2762-F138-4A5C-976F-8EAC2B608ADB}">
              <a16:predDERef xmlns:a16="http://schemas.microsoft.com/office/drawing/2014/main" pred="{E1DEF3B8-B174-817B-7B40-6D72C467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87150" y="0"/>
          <a:ext cx="3514725" cy="26289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</xdr:row>
      <xdr:rowOff>123825</xdr:rowOff>
    </xdr:from>
    <xdr:to>
      <xdr:col>20</xdr:col>
      <xdr:colOff>409575</xdr:colOff>
      <xdr:row>28</xdr:row>
      <xdr:rowOff>85725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DC87CD39-88D2-8320-1071-2D184D9092D8}"/>
            </a:ext>
            <a:ext uri="{147F2762-F138-4A5C-976F-8EAC2B608ADB}">
              <a16:predDERef xmlns:a16="http://schemas.microsoft.com/office/drawing/2014/main" pred="{6A822727-A5DC-C23C-9BB6-5331445F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96700" y="3171825"/>
          <a:ext cx="2924175" cy="224790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19050</xdr:rowOff>
    </xdr:from>
    <xdr:to>
      <xdr:col>36</xdr:col>
      <xdr:colOff>590550</xdr:colOff>
      <xdr:row>14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C9A5D2-58B1-6628-9932-578C110DB13C}"/>
            </a:ext>
            <a:ext uri="{147F2762-F138-4A5C-976F-8EAC2B608ADB}">
              <a16:predDERef xmlns:a16="http://schemas.microsoft.com/office/drawing/2014/main" pred="{DC87CD39-88D2-8320-1071-2D184D909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536025" y="590550"/>
          <a:ext cx="3028950" cy="22479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9525</xdr:rowOff>
    </xdr:from>
    <xdr:to>
      <xdr:col>30</xdr:col>
      <xdr:colOff>590550</xdr:colOff>
      <xdr:row>14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8200AC3-21F8-57BA-1C3E-55C4EF6978C4}"/>
            </a:ext>
            <a:ext uri="{147F2762-F138-4A5C-976F-8EAC2B608ADB}">
              <a16:predDERef xmlns:a16="http://schemas.microsoft.com/office/drawing/2014/main" pred="{45C9A5D2-58B1-6628-9932-578C110DB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78425" y="581025"/>
          <a:ext cx="3028950" cy="224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N524"/>
  <sheetViews>
    <sheetView topLeftCell="D459" workbookViewId="0">
      <selection activeCell="P476" sqref="P476"/>
    </sheetView>
  </sheetViews>
  <sheetFormatPr baseColWidth="10" defaultColWidth="9.1640625" defaultRowHeight="15" x14ac:dyDescent="0.2"/>
  <cols>
    <col min="1" max="2" width="9.1640625" style="1"/>
    <col min="3" max="3" width="20.5" style="1" customWidth="1"/>
    <col min="4" max="4" width="19.6640625" style="1" customWidth="1"/>
    <col min="5" max="5" width="13.6640625" style="1" customWidth="1"/>
    <col min="6" max="7" width="9.1640625" style="1"/>
    <col min="8" max="8" width="21.1640625" style="1" customWidth="1"/>
    <col min="9" max="9" width="21" style="1" customWidth="1"/>
    <col min="10" max="12" width="9.1640625" style="1"/>
    <col min="13" max="13" width="20.83203125" style="1" customWidth="1"/>
    <col min="14" max="14" width="16.33203125" style="1" customWidth="1"/>
    <col min="15" max="16384" width="9.1640625" style="1"/>
  </cols>
  <sheetData>
    <row r="3" spans="1:15" x14ac:dyDescent="0.2">
      <c r="A3" s="108" t="s">
        <v>0</v>
      </c>
      <c r="B3" s="108"/>
      <c r="C3" s="108"/>
      <c r="D3" s="108"/>
      <c r="E3" s="111"/>
      <c r="F3" s="108" t="s">
        <v>1</v>
      </c>
      <c r="G3" s="108"/>
      <c r="H3" s="108"/>
      <c r="I3" s="108"/>
      <c r="J3" s="111"/>
      <c r="K3" s="108" t="s">
        <v>2</v>
      </c>
      <c r="L3" s="108"/>
      <c r="M3" s="108"/>
      <c r="N3" s="108"/>
      <c r="O3" s="111"/>
    </row>
    <row r="4" spans="1:15" x14ac:dyDescent="0.2">
      <c r="A4" s="3" t="s">
        <v>3</v>
      </c>
      <c r="B4" s="3" t="s">
        <v>4</v>
      </c>
      <c r="C4" s="3" t="s">
        <v>5</v>
      </c>
      <c r="D4" s="3" t="s">
        <v>6</v>
      </c>
      <c r="E4" s="12" t="s">
        <v>7</v>
      </c>
      <c r="F4" s="3" t="s">
        <v>3</v>
      </c>
      <c r="G4" s="3" t="s">
        <v>4</v>
      </c>
      <c r="H4" s="3" t="s">
        <v>5</v>
      </c>
      <c r="I4" s="3" t="s">
        <v>6</v>
      </c>
      <c r="J4" s="12" t="s">
        <v>7</v>
      </c>
      <c r="K4" s="3" t="s">
        <v>3</v>
      </c>
      <c r="L4" s="3" t="s">
        <v>4</v>
      </c>
      <c r="M4" s="3" t="s">
        <v>5</v>
      </c>
      <c r="N4" s="3" t="s">
        <v>6</v>
      </c>
      <c r="O4" s="12" t="s">
        <v>7</v>
      </c>
    </row>
    <row r="5" spans="1:15" x14ac:dyDescent="0.2">
      <c r="A5" s="109">
        <v>8</v>
      </c>
      <c r="B5" s="1">
        <v>13</v>
      </c>
      <c r="C5" s="1">
        <v>71.61</v>
      </c>
      <c r="D5" s="1">
        <v>71.48</v>
      </c>
      <c r="E5" s="8">
        <v>73.27</v>
      </c>
      <c r="F5" s="109">
        <v>8</v>
      </c>
      <c r="G5" s="1">
        <v>13</v>
      </c>
      <c r="H5" s="1">
        <v>71.83</v>
      </c>
      <c r="I5" s="1">
        <v>71.77</v>
      </c>
      <c r="J5" s="8">
        <v>74.319999999999993</v>
      </c>
      <c r="K5" s="109">
        <v>8</v>
      </c>
      <c r="L5" s="1">
        <v>13</v>
      </c>
      <c r="M5" s="1">
        <v>70.930000000000007</v>
      </c>
      <c r="N5" s="1">
        <v>71.25</v>
      </c>
      <c r="O5" s="8">
        <v>72.11</v>
      </c>
    </row>
    <row r="6" spans="1:15" x14ac:dyDescent="0.2">
      <c r="A6" s="109"/>
      <c r="B6" s="1">
        <v>21</v>
      </c>
      <c r="C6" s="4">
        <v>69.2</v>
      </c>
      <c r="D6" s="4">
        <v>68.91</v>
      </c>
      <c r="E6" s="9">
        <v>72.19</v>
      </c>
      <c r="F6" s="109"/>
      <c r="G6" s="1">
        <v>21</v>
      </c>
      <c r="H6" s="4">
        <v>71.41</v>
      </c>
      <c r="I6" s="4">
        <v>71.349999999999994</v>
      </c>
      <c r="J6" s="9">
        <v>72.86</v>
      </c>
      <c r="K6" s="109"/>
      <c r="L6" s="1">
        <v>21</v>
      </c>
      <c r="M6" s="4">
        <v>70.92</v>
      </c>
      <c r="N6" s="4">
        <v>71.010000000000005</v>
      </c>
      <c r="O6" s="9">
        <v>72.319999999999993</v>
      </c>
    </row>
    <row r="7" spans="1:15" x14ac:dyDescent="0.2">
      <c r="A7" s="109"/>
      <c r="B7" s="1">
        <v>47</v>
      </c>
      <c r="C7" s="4">
        <v>71.36</v>
      </c>
      <c r="D7" s="4">
        <v>71.53</v>
      </c>
      <c r="E7" s="9">
        <v>73.42</v>
      </c>
      <c r="F7" s="109"/>
      <c r="G7" s="1">
        <v>47</v>
      </c>
      <c r="H7" s="4">
        <v>71.319999999999993</v>
      </c>
      <c r="I7" s="4">
        <v>71.16</v>
      </c>
      <c r="J7" s="9">
        <v>72.77</v>
      </c>
      <c r="K7" s="109"/>
      <c r="L7" s="1">
        <v>47</v>
      </c>
      <c r="M7" s="4">
        <v>70.78</v>
      </c>
      <c r="N7" s="4">
        <v>70.97</v>
      </c>
      <c r="O7" s="9">
        <v>71.959999999999994</v>
      </c>
    </row>
    <row r="8" spans="1:15" x14ac:dyDescent="0.2">
      <c r="A8" s="109"/>
      <c r="B8" s="1">
        <v>50</v>
      </c>
      <c r="C8" s="4">
        <v>71.31</v>
      </c>
      <c r="D8" s="4">
        <v>71.09</v>
      </c>
      <c r="E8" s="9">
        <v>72.989999999999995</v>
      </c>
      <c r="F8" s="109"/>
      <c r="G8" s="1">
        <v>50</v>
      </c>
      <c r="H8" s="4">
        <v>71.44</v>
      </c>
      <c r="I8" s="4">
        <v>71.67</v>
      </c>
      <c r="J8" s="9">
        <v>72.37</v>
      </c>
      <c r="K8" s="109"/>
      <c r="L8" s="1">
        <v>50</v>
      </c>
      <c r="M8" s="4">
        <v>70.89</v>
      </c>
      <c r="N8" s="4">
        <v>71.040000000000006</v>
      </c>
      <c r="O8" s="9">
        <v>72.14</v>
      </c>
    </row>
    <row r="9" spans="1:15" x14ac:dyDescent="0.2">
      <c r="A9" s="109"/>
      <c r="B9" s="2">
        <v>91</v>
      </c>
      <c r="C9" s="5">
        <v>71.47</v>
      </c>
      <c r="D9" s="5">
        <v>71.400000000000006</v>
      </c>
      <c r="E9" s="10">
        <v>72.89</v>
      </c>
      <c r="F9" s="109"/>
      <c r="G9" s="2">
        <v>91</v>
      </c>
      <c r="H9" s="5">
        <v>71.42</v>
      </c>
      <c r="I9" s="5">
        <v>71.64</v>
      </c>
      <c r="J9" s="10">
        <v>72.17</v>
      </c>
      <c r="K9" s="109"/>
      <c r="L9" s="2">
        <v>91</v>
      </c>
      <c r="M9" s="5">
        <v>70.900000000000006</v>
      </c>
      <c r="N9" s="5">
        <v>70.91</v>
      </c>
      <c r="O9" s="10">
        <v>72.739999999999995</v>
      </c>
    </row>
    <row r="10" spans="1:15" x14ac:dyDescent="0.2">
      <c r="A10" s="110"/>
      <c r="B10" s="6" t="s">
        <v>8</v>
      </c>
      <c r="C10" s="7">
        <f>AVERAGE(C5:C9)</f>
        <v>70.990000000000009</v>
      </c>
      <c r="D10" s="7">
        <f t="shared" ref="D10" si="0">AVERAGE(D5:D9)</f>
        <v>70.881999999999991</v>
      </c>
      <c r="E10" s="11">
        <f>AVERAGE(E5:E9)</f>
        <v>72.951999999999998</v>
      </c>
      <c r="F10" s="110"/>
      <c r="G10" s="6" t="s">
        <v>8</v>
      </c>
      <c r="H10" s="7">
        <f>AVERAGE(H5:H9)</f>
        <v>71.484000000000009</v>
      </c>
      <c r="I10" s="7">
        <f t="shared" ref="I10" si="1">AVERAGE(I5:I9)</f>
        <v>71.518000000000001</v>
      </c>
      <c r="J10" s="11">
        <f t="shared" ref="J10" si="2">AVERAGE(J5:J9)</f>
        <v>72.897999999999996</v>
      </c>
      <c r="K10" s="110"/>
      <c r="L10" s="6" t="s">
        <v>8</v>
      </c>
      <c r="M10" s="7">
        <f>AVERAGE(M5:M9)</f>
        <v>70.884000000000015</v>
      </c>
      <c r="N10" s="7">
        <f t="shared" ref="N10" si="3">AVERAGE(N5:N9)</f>
        <v>71.035999999999987</v>
      </c>
      <c r="O10" s="11">
        <f t="shared" ref="O10" si="4">AVERAGE(O5:O9)</f>
        <v>72.253999999999991</v>
      </c>
    </row>
    <row r="11" spans="1:15" x14ac:dyDescent="0.2">
      <c r="A11" s="109">
        <v>16</v>
      </c>
      <c r="B11" s="1">
        <v>13</v>
      </c>
      <c r="C11" s="4">
        <v>75.349999999999994</v>
      </c>
      <c r="D11" s="4">
        <v>75.95</v>
      </c>
      <c r="E11" s="9">
        <v>76.7</v>
      </c>
      <c r="F11" s="109">
        <v>16</v>
      </c>
      <c r="G11" s="1">
        <v>13</v>
      </c>
      <c r="H11" s="4">
        <v>76.900000000000006</v>
      </c>
      <c r="I11" s="4">
        <v>77.8</v>
      </c>
      <c r="J11" s="9">
        <v>77.709999999999994</v>
      </c>
      <c r="K11" s="109">
        <v>16</v>
      </c>
      <c r="L11" s="1">
        <v>13</v>
      </c>
      <c r="M11" s="4">
        <v>83.46</v>
      </c>
      <c r="N11" s="4">
        <v>82.91</v>
      </c>
      <c r="O11" s="9">
        <v>82.74</v>
      </c>
    </row>
    <row r="12" spans="1:15" x14ac:dyDescent="0.2">
      <c r="A12" s="109"/>
      <c r="B12" s="1">
        <v>21</v>
      </c>
      <c r="C12" s="4">
        <v>75.040000000000006</v>
      </c>
      <c r="D12" s="4">
        <v>75.599999999999994</v>
      </c>
      <c r="E12" s="9">
        <v>75.349999999999994</v>
      </c>
      <c r="F12" s="109"/>
      <c r="G12" s="1">
        <v>21</v>
      </c>
      <c r="H12" s="4">
        <v>78.290000000000006</v>
      </c>
      <c r="I12" s="4">
        <v>79.069999999999993</v>
      </c>
      <c r="J12" s="9">
        <v>79.72</v>
      </c>
      <c r="K12" s="109"/>
      <c r="L12" s="1">
        <v>21</v>
      </c>
      <c r="M12" s="4">
        <v>83.93</v>
      </c>
      <c r="N12" s="4">
        <v>83.37</v>
      </c>
      <c r="O12" s="9">
        <v>83.55</v>
      </c>
    </row>
    <row r="13" spans="1:15" x14ac:dyDescent="0.2">
      <c r="A13" s="109"/>
      <c r="B13" s="1">
        <v>47</v>
      </c>
      <c r="C13" s="4">
        <v>75.22</v>
      </c>
      <c r="D13" s="4">
        <v>76.08</v>
      </c>
      <c r="E13" s="9">
        <v>76.36</v>
      </c>
      <c r="F13" s="109"/>
      <c r="G13" s="1">
        <v>47</v>
      </c>
      <c r="H13" s="4">
        <v>77.64</v>
      </c>
      <c r="I13" s="4">
        <v>78.28</v>
      </c>
      <c r="J13" s="9">
        <v>78.739999999999995</v>
      </c>
      <c r="K13" s="109"/>
      <c r="L13" s="1">
        <v>47</v>
      </c>
      <c r="M13" s="4">
        <v>84.31</v>
      </c>
      <c r="N13" s="4">
        <v>83.5</v>
      </c>
      <c r="O13" s="9">
        <v>83.53</v>
      </c>
    </row>
    <row r="14" spans="1:15" x14ac:dyDescent="0.2">
      <c r="A14" s="109"/>
      <c r="B14" s="1">
        <v>50</v>
      </c>
      <c r="C14" s="4">
        <v>75.16</v>
      </c>
      <c r="D14" s="4">
        <v>75.47</v>
      </c>
      <c r="E14" s="9">
        <v>76.540000000000006</v>
      </c>
      <c r="F14" s="109"/>
      <c r="G14" s="1">
        <v>50</v>
      </c>
      <c r="H14" s="4">
        <v>78.33</v>
      </c>
      <c r="I14" s="4">
        <v>78.77</v>
      </c>
      <c r="J14" s="9">
        <v>78.44</v>
      </c>
      <c r="K14" s="109"/>
      <c r="L14" s="1">
        <v>50</v>
      </c>
      <c r="M14" s="4">
        <v>83.2</v>
      </c>
      <c r="N14" s="4">
        <v>82.63</v>
      </c>
      <c r="O14" s="9">
        <v>82.83</v>
      </c>
    </row>
    <row r="15" spans="1:15" x14ac:dyDescent="0.2">
      <c r="A15" s="109"/>
      <c r="B15" s="2">
        <v>91</v>
      </c>
      <c r="C15" s="5">
        <v>75.36</v>
      </c>
      <c r="D15" s="5">
        <v>76.27</v>
      </c>
      <c r="E15" s="10">
        <v>76.459999999999994</v>
      </c>
      <c r="F15" s="109"/>
      <c r="G15" s="2">
        <v>91</v>
      </c>
      <c r="H15" s="5">
        <v>78.290000000000006</v>
      </c>
      <c r="I15" s="5">
        <v>79.010000000000005</v>
      </c>
      <c r="J15" s="10">
        <v>79.23</v>
      </c>
      <c r="K15" s="109"/>
      <c r="L15" s="2">
        <v>91</v>
      </c>
      <c r="M15" s="5">
        <v>82.49</v>
      </c>
      <c r="N15" s="5">
        <v>82.28</v>
      </c>
      <c r="O15" s="10">
        <v>82.6</v>
      </c>
    </row>
    <row r="16" spans="1:15" x14ac:dyDescent="0.2">
      <c r="A16" s="110"/>
      <c r="B16" s="6" t="s">
        <v>8</v>
      </c>
      <c r="C16" s="7">
        <f>AVERAGE(C11:C15)</f>
        <v>75.225999999999999</v>
      </c>
      <c r="D16" s="7">
        <f t="shared" ref="D16" si="5">AVERAGE(D11:D15)</f>
        <v>75.873999999999995</v>
      </c>
      <c r="E16" s="11">
        <f t="shared" ref="E16" si="6">AVERAGE(E11:E15)</f>
        <v>76.282000000000011</v>
      </c>
      <c r="F16" s="110"/>
      <c r="G16" s="6" t="s">
        <v>8</v>
      </c>
      <c r="H16" s="7">
        <f>AVERAGE(H11:H15)</f>
        <v>77.89</v>
      </c>
      <c r="I16" s="7">
        <f t="shared" ref="I16" si="7">AVERAGE(I11:I15)</f>
        <v>78.585999999999999</v>
      </c>
      <c r="J16" s="11">
        <f t="shared" ref="J16" si="8">AVERAGE(J11:J15)</f>
        <v>78.768000000000001</v>
      </c>
      <c r="K16" s="110"/>
      <c r="L16" s="6" t="s">
        <v>8</v>
      </c>
      <c r="M16" s="7">
        <f>AVERAGE(M11:M15)</f>
        <v>83.477999999999994</v>
      </c>
      <c r="N16" s="7">
        <f t="shared" ref="N16" si="9">AVERAGE(N11:N15)</f>
        <v>82.937999999999988</v>
      </c>
      <c r="O16" s="11">
        <f t="shared" ref="O16" si="10">AVERAGE(O11:O15)</f>
        <v>83.05</v>
      </c>
    </row>
    <row r="17" spans="1:15" x14ac:dyDescent="0.2">
      <c r="A17" s="109">
        <v>32</v>
      </c>
      <c r="B17" s="1">
        <v>13</v>
      </c>
      <c r="C17" s="4">
        <v>76.83</v>
      </c>
      <c r="D17" s="4">
        <v>77.459999999999994</v>
      </c>
      <c r="E17" s="9">
        <v>78.349999999999994</v>
      </c>
      <c r="F17" s="109">
        <v>32</v>
      </c>
      <c r="G17" s="1">
        <v>13</v>
      </c>
      <c r="H17" s="4">
        <v>82.23</v>
      </c>
      <c r="I17" s="4">
        <v>82.47</v>
      </c>
      <c r="J17" s="9">
        <v>82.15</v>
      </c>
      <c r="K17" s="109">
        <v>32</v>
      </c>
      <c r="L17" s="1">
        <v>13</v>
      </c>
      <c r="M17" s="4">
        <v>88.87</v>
      </c>
      <c r="N17" s="4">
        <v>88.31</v>
      </c>
      <c r="O17" s="9">
        <v>87.92</v>
      </c>
    </row>
    <row r="18" spans="1:15" x14ac:dyDescent="0.2">
      <c r="A18" s="109"/>
      <c r="B18" s="1">
        <v>21</v>
      </c>
      <c r="C18" s="4">
        <v>77.17</v>
      </c>
      <c r="D18" s="4">
        <v>77.59</v>
      </c>
      <c r="E18" s="9">
        <v>78.319999999999993</v>
      </c>
      <c r="F18" s="109"/>
      <c r="G18" s="1">
        <v>21</v>
      </c>
      <c r="H18" s="4">
        <v>82.68</v>
      </c>
      <c r="I18" s="4">
        <v>82.51</v>
      </c>
      <c r="J18" s="9">
        <v>82.34</v>
      </c>
      <c r="K18" s="109"/>
      <c r="L18" s="1">
        <v>21</v>
      </c>
      <c r="M18" s="4">
        <v>89.89</v>
      </c>
      <c r="N18" s="4">
        <v>89.28</v>
      </c>
      <c r="O18" s="9">
        <v>88.62</v>
      </c>
    </row>
    <row r="19" spans="1:15" x14ac:dyDescent="0.2">
      <c r="A19" s="109"/>
      <c r="B19" s="1">
        <v>47</v>
      </c>
      <c r="C19" s="4">
        <v>76.239999999999995</v>
      </c>
      <c r="D19" s="4">
        <v>77.010000000000005</v>
      </c>
      <c r="E19" s="9">
        <v>77.78</v>
      </c>
      <c r="F19" s="109"/>
      <c r="G19" s="1">
        <v>47</v>
      </c>
      <c r="H19" s="4">
        <v>81.97</v>
      </c>
      <c r="I19" s="4">
        <v>81.78</v>
      </c>
      <c r="J19" s="9">
        <v>81.05</v>
      </c>
      <c r="K19" s="109"/>
      <c r="L19" s="1">
        <v>47</v>
      </c>
      <c r="M19" s="4">
        <v>89.74</v>
      </c>
      <c r="N19" s="4">
        <v>89.17</v>
      </c>
      <c r="O19" s="9">
        <v>88.67</v>
      </c>
    </row>
    <row r="20" spans="1:15" x14ac:dyDescent="0.2">
      <c r="A20" s="109"/>
      <c r="B20" s="1">
        <v>50</v>
      </c>
      <c r="C20" s="4">
        <v>77.12</v>
      </c>
      <c r="D20" s="4">
        <v>77.92</v>
      </c>
      <c r="E20" s="9">
        <v>78.17</v>
      </c>
      <c r="F20" s="109"/>
      <c r="G20" s="1">
        <v>50</v>
      </c>
      <c r="H20" s="4">
        <v>82.17</v>
      </c>
      <c r="I20" s="4">
        <v>83.1</v>
      </c>
      <c r="J20" s="9">
        <v>82.87</v>
      </c>
      <c r="K20" s="109"/>
      <c r="L20" s="1">
        <v>50</v>
      </c>
      <c r="M20" s="4">
        <v>89.74</v>
      </c>
      <c r="N20" s="4">
        <v>89.17</v>
      </c>
      <c r="O20" s="9">
        <v>88.67</v>
      </c>
    </row>
    <row r="21" spans="1:15" x14ac:dyDescent="0.2">
      <c r="A21" s="109"/>
      <c r="B21" s="2">
        <v>91</v>
      </c>
      <c r="C21" s="5">
        <v>77.489999999999995</v>
      </c>
      <c r="D21" s="5">
        <v>77.92</v>
      </c>
      <c r="E21" s="10">
        <v>78.52</v>
      </c>
      <c r="F21" s="109"/>
      <c r="G21" s="2">
        <v>91</v>
      </c>
      <c r="H21" s="5">
        <v>82.13</v>
      </c>
      <c r="I21" s="5">
        <v>81.819999999999993</v>
      </c>
      <c r="J21" s="10">
        <v>81.47</v>
      </c>
      <c r="K21" s="109"/>
      <c r="L21" s="2">
        <v>91</v>
      </c>
      <c r="M21" s="5">
        <v>90.45</v>
      </c>
      <c r="N21" s="5">
        <v>89.14</v>
      </c>
      <c r="O21" s="10">
        <v>88.67</v>
      </c>
    </row>
    <row r="22" spans="1:15" x14ac:dyDescent="0.2">
      <c r="A22" s="110"/>
      <c r="B22" s="6" t="s">
        <v>8</v>
      </c>
      <c r="C22" s="7">
        <f>AVERAGE(C17:C21)</f>
        <v>76.97</v>
      </c>
      <c r="D22" s="7">
        <f t="shared" ref="D22" si="11">AVERAGE(D17:D21)</f>
        <v>77.580000000000013</v>
      </c>
      <c r="E22" s="11">
        <f t="shared" ref="E22" si="12">AVERAGE(E17:E21)</f>
        <v>78.227999999999994</v>
      </c>
      <c r="F22" s="110"/>
      <c r="G22" s="6" t="s">
        <v>8</v>
      </c>
      <c r="H22" s="7">
        <f>AVERAGE(H17:H21)</f>
        <v>82.236000000000004</v>
      </c>
      <c r="I22" s="7">
        <f t="shared" ref="I22" si="13">AVERAGE(I17:I21)</f>
        <v>82.335999999999999</v>
      </c>
      <c r="J22" s="11">
        <f t="shared" ref="J22" si="14">AVERAGE(J17:J21)</f>
        <v>81.975999999999999</v>
      </c>
      <c r="K22" s="110"/>
      <c r="L22" s="6" t="s">
        <v>8</v>
      </c>
      <c r="M22" s="7">
        <f>AVERAGE(M17:M21)</f>
        <v>89.738</v>
      </c>
      <c r="N22" s="7">
        <f t="shared" ref="N22" si="15">AVERAGE(N17:N21)</f>
        <v>89.013999999999996</v>
      </c>
      <c r="O22" s="11">
        <f t="shared" ref="O22" si="16">AVERAGE(O17:O21)</f>
        <v>88.510000000000019</v>
      </c>
    </row>
    <row r="23" spans="1:15" x14ac:dyDescent="0.2">
      <c r="A23" s="109">
        <v>64</v>
      </c>
      <c r="B23" s="1">
        <v>13</v>
      </c>
      <c r="C23" s="4">
        <v>77.459999999999994</v>
      </c>
      <c r="D23" s="4">
        <v>78.11</v>
      </c>
      <c r="E23" s="9">
        <v>78.75</v>
      </c>
      <c r="F23" s="109">
        <v>64</v>
      </c>
      <c r="G23" s="1">
        <v>13</v>
      </c>
      <c r="H23" s="4">
        <v>86.79</v>
      </c>
      <c r="I23" s="4">
        <v>86.05</v>
      </c>
      <c r="J23" s="9">
        <v>85.59</v>
      </c>
      <c r="K23" s="109">
        <v>64</v>
      </c>
      <c r="L23" s="1">
        <v>13</v>
      </c>
      <c r="M23" s="112" t="s">
        <v>9</v>
      </c>
      <c r="N23" s="113"/>
      <c r="O23" s="114"/>
    </row>
    <row r="24" spans="1:15" x14ac:dyDescent="0.2">
      <c r="A24" s="109"/>
      <c r="B24" s="1">
        <v>21</v>
      </c>
      <c r="C24" s="4">
        <v>77.66</v>
      </c>
      <c r="D24" s="4">
        <v>78.52</v>
      </c>
      <c r="E24" s="9">
        <v>78.58</v>
      </c>
      <c r="F24" s="109"/>
      <c r="G24" s="1">
        <v>21</v>
      </c>
      <c r="H24" s="4">
        <v>85.65</v>
      </c>
      <c r="I24" s="4">
        <v>85.8</v>
      </c>
      <c r="J24" s="9">
        <v>85.89</v>
      </c>
      <c r="K24" s="109"/>
      <c r="L24" s="1">
        <v>21</v>
      </c>
      <c r="M24" s="115"/>
      <c r="N24" s="115"/>
      <c r="O24" s="116"/>
    </row>
    <row r="25" spans="1:15" x14ac:dyDescent="0.2">
      <c r="A25" s="109"/>
      <c r="B25" s="1">
        <v>47</v>
      </c>
      <c r="C25" s="4">
        <v>77.67</v>
      </c>
      <c r="D25" s="4">
        <v>78.42</v>
      </c>
      <c r="E25" s="9">
        <v>78.59</v>
      </c>
      <c r="F25" s="109"/>
      <c r="G25" s="1">
        <v>47</v>
      </c>
      <c r="H25" s="4">
        <v>86.55</v>
      </c>
      <c r="I25" s="4">
        <v>85.99</v>
      </c>
      <c r="J25" s="9">
        <v>85.34</v>
      </c>
      <c r="K25" s="109"/>
      <c r="L25" s="1">
        <v>47</v>
      </c>
      <c r="M25" s="115"/>
      <c r="N25" s="115"/>
      <c r="O25" s="116"/>
    </row>
    <row r="26" spans="1:15" x14ac:dyDescent="0.2">
      <c r="A26" s="109"/>
      <c r="B26" s="1">
        <v>50</v>
      </c>
      <c r="C26" s="4">
        <v>77.95</v>
      </c>
      <c r="D26" s="4">
        <v>78.67</v>
      </c>
      <c r="E26" s="9">
        <v>78.81</v>
      </c>
      <c r="F26" s="109"/>
      <c r="G26" s="1">
        <v>50</v>
      </c>
      <c r="H26" s="4">
        <v>87.63</v>
      </c>
      <c r="I26" s="4">
        <v>88.2</v>
      </c>
      <c r="J26" s="9">
        <v>88.03</v>
      </c>
      <c r="K26" s="109"/>
      <c r="L26" s="1">
        <v>50</v>
      </c>
      <c r="M26" s="115"/>
      <c r="N26" s="115"/>
      <c r="O26" s="116"/>
    </row>
    <row r="27" spans="1:15" x14ac:dyDescent="0.2">
      <c r="A27" s="109"/>
      <c r="B27" s="2">
        <v>91</v>
      </c>
      <c r="C27" s="5">
        <v>77.739999999999995</v>
      </c>
      <c r="D27" s="5">
        <v>78.3</v>
      </c>
      <c r="E27" s="10">
        <v>79.09</v>
      </c>
      <c r="F27" s="109"/>
      <c r="G27" s="2">
        <v>91</v>
      </c>
      <c r="H27" s="5">
        <v>88.39</v>
      </c>
      <c r="I27" s="5">
        <v>88.2</v>
      </c>
      <c r="J27" s="10">
        <v>88.03</v>
      </c>
      <c r="K27" s="109"/>
      <c r="L27" s="2">
        <v>91</v>
      </c>
      <c r="M27" s="117"/>
      <c r="N27" s="117"/>
      <c r="O27" s="118"/>
    </row>
    <row r="28" spans="1:15" x14ac:dyDescent="0.2">
      <c r="A28" s="110"/>
      <c r="B28" s="6" t="s">
        <v>8</v>
      </c>
      <c r="C28" s="7">
        <f>AVERAGE(C23:C27)</f>
        <v>77.695999999999998</v>
      </c>
      <c r="D28" s="7">
        <f t="shared" ref="D28" si="17">AVERAGE(D23:D27)</f>
        <v>78.404000000000011</v>
      </c>
      <c r="E28" s="11">
        <f t="shared" ref="E28" si="18">AVERAGE(E23:E27)</f>
        <v>78.76400000000001</v>
      </c>
      <c r="F28" s="110"/>
      <c r="G28" s="6" t="s">
        <v>8</v>
      </c>
      <c r="H28" s="7">
        <f>AVERAGE(H23:H27)</f>
        <v>87.001999999999995</v>
      </c>
      <c r="I28" s="7">
        <f t="shared" ref="I28" si="19">AVERAGE(I23:I27)</f>
        <v>86.847999999999985</v>
      </c>
      <c r="J28" s="11">
        <f t="shared" ref="J28" si="20">AVERAGE(J23:J27)</f>
        <v>86.575999999999993</v>
      </c>
      <c r="K28" s="110"/>
      <c r="L28" s="6" t="s">
        <v>8</v>
      </c>
      <c r="M28" s="7" t="e">
        <f>AVERAGE(M23:M27)</f>
        <v>#DIV/0!</v>
      </c>
      <c r="N28" s="7" t="e">
        <f t="shared" ref="N28" si="21">AVERAGE(N23:N27)</f>
        <v>#DIV/0!</v>
      </c>
      <c r="O28" s="11" t="e">
        <f t="shared" ref="O28" si="22">AVERAGE(O23:O27)</f>
        <v>#DIV/0!</v>
      </c>
    </row>
    <row r="29" spans="1:15" x14ac:dyDescent="0.2">
      <c r="D29" s="4">
        <f>D28-D10</f>
        <v>7.5220000000000198</v>
      </c>
      <c r="E29" s="4">
        <f>E28-E10</f>
        <v>5.8120000000000118</v>
      </c>
    </row>
    <row r="31" spans="1:15" x14ac:dyDescent="0.2">
      <c r="C31" s="15" t="s">
        <v>3</v>
      </c>
      <c r="D31" s="14" t="s">
        <v>10</v>
      </c>
      <c r="E31" s="14" t="s">
        <v>11</v>
      </c>
      <c r="F31" s="13" t="s">
        <v>12</v>
      </c>
      <c r="G31" s="13" t="s">
        <v>13</v>
      </c>
    </row>
    <row r="32" spans="1:15" x14ac:dyDescent="0.2">
      <c r="C32" s="16">
        <v>8</v>
      </c>
      <c r="D32" s="1">
        <f>C32*(C32-1)/2</f>
        <v>28</v>
      </c>
      <c r="E32" s="1">
        <f>D32*2</f>
        <v>56</v>
      </c>
      <c r="F32" s="8">
        <f>D32*3</f>
        <v>84</v>
      </c>
      <c r="G32" s="8">
        <f>((C32-2)/2)*((C32-2)/2-1)</f>
        <v>6</v>
      </c>
      <c r="H32" s="1">
        <f>G32/D32</f>
        <v>0.21428571428571427</v>
      </c>
    </row>
    <row r="33" spans="1:15" x14ac:dyDescent="0.2">
      <c r="C33" s="16">
        <v>16</v>
      </c>
      <c r="D33" s="1">
        <f t="shared" ref="D33:D35" si="23">C33*(C33-1)/2</f>
        <v>120</v>
      </c>
      <c r="E33" s="1">
        <f t="shared" ref="E33:E35" si="24">D33*2</f>
        <v>240</v>
      </c>
      <c r="F33" s="8">
        <f t="shared" ref="F33:F35" si="25">D33*3</f>
        <v>360</v>
      </c>
      <c r="G33" s="8">
        <f t="shared" ref="G33:G35" si="26">((C33-2)/2)*((C33-2)/2-1)</f>
        <v>42</v>
      </c>
      <c r="H33" s="1">
        <f t="shared" ref="H33:H35" si="27">G33/D33</f>
        <v>0.35</v>
      </c>
      <c r="I33" s="18" t="s">
        <v>14</v>
      </c>
    </row>
    <row r="34" spans="1:15" x14ac:dyDescent="0.2">
      <c r="C34" s="16">
        <v>32</v>
      </c>
      <c r="D34" s="1">
        <f t="shared" si="23"/>
        <v>496</v>
      </c>
      <c r="E34" s="1">
        <f t="shared" si="24"/>
        <v>992</v>
      </c>
      <c r="F34" s="8">
        <f t="shared" si="25"/>
        <v>1488</v>
      </c>
      <c r="G34" s="8">
        <f t="shared" si="26"/>
        <v>210</v>
      </c>
      <c r="H34" s="1">
        <f t="shared" si="27"/>
        <v>0.42338709677419356</v>
      </c>
    </row>
    <row r="35" spans="1:15" x14ac:dyDescent="0.2">
      <c r="C35" s="17">
        <v>64</v>
      </c>
      <c r="D35" s="3">
        <f t="shared" si="23"/>
        <v>2016</v>
      </c>
      <c r="E35" s="3">
        <f t="shared" si="24"/>
        <v>4032</v>
      </c>
      <c r="F35" s="12">
        <f t="shared" si="25"/>
        <v>6048</v>
      </c>
      <c r="G35" s="12">
        <f t="shared" si="26"/>
        <v>930</v>
      </c>
      <c r="H35" s="1">
        <f t="shared" si="27"/>
        <v>0.46130952380952384</v>
      </c>
    </row>
    <row r="39" spans="1:15" x14ac:dyDescent="0.2">
      <c r="A39" s="108" t="s">
        <v>15</v>
      </c>
      <c r="B39" s="108"/>
      <c r="C39" s="108"/>
      <c r="D39" s="108"/>
      <c r="E39" s="111"/>
      <c r="F39" s="108" t="s">
        <v>16</v>
      </c>
      <c r="G39" s="108"/>
      <c r="H39" s="108"/>
      <c r="I39" s="108"/>
      <c r="J39" s="111"/>
      <c r="K39" s="108" t="s">
        <v>17</v>
      </c>
      <c r="L39" s="108"/>
      <c r="M39" s="108"/>
      <c r="N39" s="108"/>
      <c r="O39" s="111"/>
    </row>
    <row r="40" spans="1:15" x14ac:dyDescent="0.2">
      <c r="A40" s="3" t="s">
        <v>3</v>
      </c>
      <c r="B40" s="3" t="s">
        <v>4</v>
      </c>
      <c r="C40" s="3" t="s">
        <v>5</v>
      </c>
      <c r="D40" s="3" t="s">
        <v>6</v>
      </c>
      <c r="E40" s="12" t="s">
        <v>7</v>
      </c>
      <c r="F40" s="3" t="s">
        <v>3</v>
      </c>
      <c r="G40" s="3" t="s">
        <v>4</v>
      </c>
      <c r="H40" s="3" t="s">
        <v>5</v>
      </c>
      <c r="I40" s="3" t="s">
        <v>6</v>
      </c>
      <c r="J40" s="12" t="s">
        <v>7</v>
      </c>
      <c r="K40" s="3" t="s">
        <v>3</v>
      </c>
      <c r="L40" s="3" t="s">
        <v>4</v>
      </c>
      <c r="M40" s="3" t="s">
        <v>5</v>
      </c>
      <c r="N40" s="3" t="s">
        <v>6</v>
      </c>
      <c r="O40" s="12" t="s">
        <v>7</v>
      </c>
    </row>
    <row r="41" spans="1:15" x14ac:dyDescent="0.2">
      <c r="A41" s="109">
        <v>8</v>
      </c>
      <c r="B41" s="1">
        <v>13</v>
      </c>
      <c r="C41" s="1">
        <v>72.55</v>
      </c>
      <c r="D41" s="1">
        <v>72.319999999999993</v>
      </c>
      <c r="E41" s="8">
        <v>71.22</v>
      </c>
      <c r="F41" s="109">
        <v>8</v>
      </c>
      <c r="G41" s="1">
        <v>13</v>
      </c>
      <c r="H41" s="1">
        <v>74.739999999999995</v>
      </c>
      <c r="I41" s="1">
        <v>74.739999999999995</v>
      </c>
      <c r="J41" s="8">
        <v>74.19</v>
      </c>
      <c r="K41" s="109">
        <v>8</v>
      </c>
      <c r="L41" s="1">
        <v>13</v>
      </c>
      <c r="M41" s="1">
        <v>76.459999999999994</v>
      </c>
      <c r="N41" s="1">
        <v>76.61</v>
      </c>
      <c r="O41" s="8">
        <v>76.59</v>
      </c>
    </row>
    <row r="42" spans="1:15" x14ac:dyDescent="0.2">
      <c r="A42" s="109"/>
      <c r="B42" s="1">
        <v>21</v>
      </c>
      <c r="C42" s="4">
        <v>72.38</v>
      </c>
      <c r="D42" s="4">
        <v>72.290000000000006</v>
      </c>
      <c r="E42" s="9">
        <v>70.319999999999993</v>
      </c>
      <c r="F42" s="109"/>
      <c r="G42" s="1">
        <v>21</v>
      </c>
      <c r="H42" s="4">
        <v>74.680000000000007</v>
      </c>
      <c r="I42" s="4">
        <v>74.59</v>
      </c>
      <c r="J42" s="9">
        <v>72.569999999999993</v>
      </c>
      <c r="K42" s="109"/>
      <c r="L42" s="1">
        <v>21</v>
      </c>
      <c r="M42" s="4">
        <v>76.91</v>
      </c>
      <c r="N42" s="4">
        <v>76.81</v>
      </c>
      <c r="O42" s="9">
        <v>76.010000000000005</v>
      </c>
    </row>
    <row r="43" spans="1:15" x14ac:dyDescent="0.2">
      <c r="A43" s="109"/>
      <c r="B43" s="1">
        <v>47</v>
      </c>
      <c r="C43" s="4">
        <v>72.78</v>
      </c>
      <c r="D43" s="4">
        <v>72.650000000000006</v>
      </c>
      <c r="E43" s="9">
        <v>71.94</v>
      </c>
      <c r="F43" s="109"/>
      <c r="G43" s="1">
        <v>47</v>
      </c>
      <c r="H43" s="4">
        <v>74.73</v>
      </c>
      <c r="I43" s="4">
        <v>74.72</v>
      </c>
      <c r="J43" s="9">
        <v>74.45</v>
      </c>
      <c r="K43" s="109"/>
      <c r="L43" s="1">
        <v>47</v>
      </c>
      <c r="M43" s="4">
        <v>76.989999999999995</v>
      </c>
      <c r="N43" s="4">
        <v>77.099999999999994</v>
      </c>
      <c r="O43" s="9">
        <v>76.31</v>
      </c>
    </row>
    <row r="44" spans="1:15" x14ac:dyDescent="0.2">
      <c r="A44" s="109"/>
      <c r="B44" s="1">
        <v>50</v>
      </c>
      <c r="C44" s="4">
        <v>72.400000000000006</v>
      </c>
      <c r="D44" s="4">
        <v>72.31</v>
      </c>
      <c r="E44" s="9">
        <v>70.47</v>
      </c>
      <c r="F44" s="109"/>
      <c r="G44" s="1">
        <v>50</v>
      </c>
      <c r="H44" s="4">
        <v>73.39</v>
      </c>
      <c r="I44" s="4">
        <v>73.31</v>
      </c>
      <c r="J44" s="9">
        <v>71.48</v>
      </c>
      <c r="K44" s="109"/>
      <c r="L44" s="1">
        <v>50</v>
      </c>
      <c r="M44" s="4">
        <v>75.739999999999995</v>
      </c>
      <c r="N44" s="4">
        <v>75.84</v>
      </c>
      <c r="O44" s="9">
        <v>74.62</v>
      </c>
    </row>
    <row r="45" spans="1:15" x14ac:dyDescent="0.2">
      <c r="A45" s="109"/>
      <c r="B45" s="2">
        <v>91</v>
      </c>
      <c r="C45" s="5">
        <v>72.25</v>
      </c>
      <c r="D45" s="5">
        <v>72.05</v>
      </c>
      <c r="E45" s="10">
        <v>70.33</v>
      </c>
      <c r="F45" s="109"/>
      <c r="G45" s="2">
        <v>91</v>
      </c>
      <c r="H45" s="5">
        <v>72.63</v>
      </c>
      <c r="I45" s="5">
        <v>72.44</v>
      </c>
      <c r="J45" s="10">
        <v>70.64</v>
      </c>
      <c r="K45" s="109"/>
      <c r="L45" s="2">
        <v>91</v>
      </c>
      <c r="M45" s="5">
        <v>73.739999999999995</v>
      </c>
      <c r="N45" s="5">
        <v>73.7</v>
      </c>
      <c r="O45" s="10">
        <v>73.22</v>
      </c>
    </row>
    <row r="46" spans="1:15" x14ac:dyDescent="0.2">
      <c r="A46" s="110"/>
      <c r="B46" s="6" t="s">
        <v>8</v>
      </c>
      <c r="C46" s="7">
        <f>AVERAGE(C41:C45)</f>
        <v>72.472000000000008</v>
      </c>
      <c r="D46" s="7">
        <f t="shared" ref="D46" si="28">AVERAGE(D41:D45)</f>
        <v>72.324000000000012</v>
      </c>
      <c r="E46" s="11">
        <f>AVERAGE(E41:E45)</f>
        <v>70.855999999999995</v>
      </c>
      <c r="F46" s="110"/>
      <c r="G46" s="6" t="s">
        <v>8</v>
      </c>
      <c r="H46" s="7">
        <f>AVERAGE(H41:H45)</f>
        <v>74.034000000000006</v>
      </c>
      <c r="I46" s="7">
        <f t="shared" ref="I46:J46" si="29">AVERAGE(I41:I45)</f>
        <v>73.960000000000008</v>
      </c>
      <c r="J46" s="11">
        <f t="shared" si="29"/>
        <v>72.665999999999997</v>
      </c>
      <c r="K46" s="110"/>
      <c r="L46" s="6" t="s">
        <v>8</v>
      </c>
      <c r="M46" s="7">
        <f>AVERAGE(M41:M45)</f>
        <v>75.968000000000004</v>
      </c>
      <c r="N46" s="7">
        <f t="shared" ref="N46:O46" si="30">AVERAGE(N41:N45)</f>
        <v>76.012</v>
      </c>
      <c r="O46" s="11">
        <f t="shared" si="30"/>
        <v>75.349999999999994</v>
      </c>
    </row>
    <row r="47" spans="1:15" x14ac:dyDescent="0.2">
      <c r="A47" s="109">
        <v>16</v>
      </c>
      <c r="B47" s="1">
        <v>13</v>
      </c>
      <c r="C47" s="4">
        <v>73.73</v>
      </c>
      <c r="D47" s="4">
        <v>73.59</v>
      </c>
      <c r="E47" s="9">
        <v>72.45</v>
      </c>
      <c r="F47" s="109">
        <v>16</v>
      </c>
      <c r="G47" s="1">
        <v>13</v>
      </c>
      <c r="H47" s="4">
        <v>76.91</v>
      </c>
      <c r="I47" s="4">
        <v>76.78</v>
      </c>
      <c r="J47" s="9">
        <v>76.62</v>
      </c>
      <c r="K47" s="109">
        <v>16</v>
      </c>
      <c r="L47" s="1">
        <v>13</v>
      </c>
      <c r="M47" s="4">
        <v>78.459999999999994</v>
      </c>
      <c r="N47" s="4">
        <v>78.150000000000006</v>
      </c>
      <c r="O47" s="9">
        <v>78.180000000000007</v>
      </c>
    </row>
    <row r="48" spans="1:15" x14ac:dyDescent="0.2">
      <c r="A48" s="109"/>
      <c r="B48" s="1">
        <v>21</v>
      </c>
      <c r="C48" s="4">
        <v>73.56</v>
      </c>
      <c r="D48" s="4">
        <v>73.180000000000007</v>
      </c>
      <c r="E48" s="9">
        <v>71.650000000000006</v>
      </c>
      <c r="F48" s="109"/>
      <c r="G48" s="1">
        <v>21</v>
      </c>
      <c r="H48" s="4">
        <v>76.86</v>
      </c>
      <c r="I48" s="4">
        <v>76.489999999999995</v>
      </c>
      <c r="J48" s="9">
        <v>77.06</v>
      </c>
      <c r="K48" s="109"/>
      <c r="L48" s="1">
        <v>21</v>
      </c>
      <c r="M48" s="4">
        <v>78.31</v>
      </c>
      <c r="N48" s="4">
        <v>77.91</v>
      </c>
      <c r="O48" s="9">
        <v>78.14</v>
      </c>
    </row>
    <row r="49" spans="1:15" x14ac:dyDescent="0.2">
      <c r="A49" s="109"/>
      <c r="B49" s="1">
        <v>47</v>
      </c>
      <c r="C49" s="4">
        <v>73.760000000000005</v>
      </c>
      <c r="D49" s="4">
        <v>73.41</v>
      </c>
      <c r="E49" s="9">
        <v>72.209999999999994</v>
      </c>
      <c r="F49" s="109"/>
      <c r="G49" s="1">
        <v>47</v>
      </c>
      <c r="H49" s="4">
        <v>76.86</v>
      </c>
      <c r="I49" s="4">
        <v>76.41</v>
      </c>
      <c r="J49" s="9">
        <v>76.69</v>
      </c>
      <c r="K49" s="109"/>
      <c r="L49" s="1">
        <v>47</v>
      </c>
      <c r="M49" s="4">
        <v>78.709999999999994</v>
      </c>
      <c r="N49" s="4">
        <v>78.540000000000006</v>
      </c>
      <c r="O49" s="9">
        <v>78.42</v>
      </c>
    </row>
    <row r="50" spans="1:15" x14ac:dyDescent="0.2">
      <c r="A50" s="109"/>
      <c r="B50" s="1">
        <v>50</v>
      </c>
      <c r="C50" s="4">
        <v>73.680000000000007</v>
      </c>
      <c r="D50" s="4">
        <v>73.290000000000006</v>
      </c>
      <c r="E50" s="9">
        <v>71.900000000000006</v>
      </c>
      <c r="F50" s="109"/>
      <c r="G50" s="1">
        <v>50</v>
      </c>
      <c r="H50" s="4">
        <v>76.86</v>
      </c>
      <c r="I50" s="4">
        <v>76.510000000000005</v>
      </c>
      <c r="J50" s="9">
        <v>76.790000000000006</v>
      </c>
      <c r="K50" s="109"/>
      <c r="L50" s="1">
        <v>50</v>
      </c>
      <c r="M50" s="4">
        <v>78.45</v>
      </c>
      <c r="N50" s="4">
        <v>78.34</v>
      </c>
      <c r="O50" s="9">
        <v>78.08</v>
      </c>
    </row>
    <row r="51" spans="1:15" x14ac:dyDescent="0.2">
      <c r="A51" s="109"/>
      <c r="B51" s="2">
        <v>91</v>
      </c>
      <c r="C51" s="5">
        <v>73.489999999999995</v>
      </c>
      <c r="D51" s="5">
        <v>73.260000000000005</v>
      </c>
      <c r="E51" s="10">
        <v>72.48</v>
      </c>
      <c r="F51" s="109"/>
      <c r="G51" s="2">
        <v>91</v>
      </c>
      <c r="H51" s="5">
        <v>76.930000000000007</v>
      </c>
      <c r="I51" s="5">
        <v>76.53</v>
      </c>
      <c r="J51" s="10">
        <v>76.66</v>
      </c>
      <c r="K51" s="109"/>
      <c r="L51" s="2">
        <v>91</v>
      </c>
      <c r="M51" s="5">
        <v>78.2</v>
      </c>
      <c r="N51" s="5">
        <v>78.290000000000006</v>
      </c>
      <c r="O51" s="10">
        <v>78.430000000000007</v>
      </c>
    </row>
    <row r="52" spans="1:15" x14ac:dyDescent="0.2">
      <c r="A52" s="110"/>
      <c r="B52" s="6" t="s">
        <v>8</v>
      </c>
      <c r="C52" s="7">
        <f>AVERAGE(C47:C51)</f>
        <v>73.644000000000005</v>
      </c>
      <c r="D52" s="7">
        <f t="shared" ref="D52:E52" si="31">AVERAGE(D47:D51)</f>
        <v>73.346000000000004</v>
      </c>
      <c r="E52" s="11">
        <f t="shared" si="31"/>
        <v>72.138000000000005</v>
      </c>
      <c r="F52" s="110"/>
      <c r="G52" s="6" t="s">
        <v>8</v>
      </c>
      <c r="H52" s="7">
        <f>AVERAGE(H47:H51)</f>
        <v>76.884</v>
      </c>
      <c r="I52" s="7">
        <f t="shared" ref="I52:J52" si="32">AVERAGE(I47:I51)</f>
        <v>76.544000000000011</v>
      </c>
      <c r="J52" s="11">
        <f t="shared" si="32"/>
        <v>76.76400000000001</v>
      </c>
      <c r="K52" s="110"/>
      <c r="L52" s="6" t="s">
        <v>8</v>
      </c>
      <c r="M52" s="7">
        <f>AVERAGE(M47:M51)</f>
        <v>78.425999999999988</v>
      </c>
      <c r="N52" s="7">
        <f t="shared" ref="N52:O52" si="33">AVERAGE(N47:N51)</f>
        <v>78.246000000000009</v>
      </c>
      <c r="O52" s="11">
        <f t="shared" si="33"/>
        <v>78.25</v>
      </c>
    </row>
    <row r="53" spans="1:15" x14ac:dyDescent="0.2">
      <c r="A53" s="109">
        <v>32</v>
      </c>
      <c r="B53" s="1">
        <v>13</v>
      </c>
      <c r="C53" s="4">
        <v>74.55</v>
      </c>
      <c r="D53" s="4">
        <v>74.31</v>
      </c>
      <c r="E53" s="9">
        <v>73.510000000000005</v>
      </c>
      <c r="F53" s="109">
        <v>32</v>
      </c>
      <c r="G53" s="1">
        <v>13</v>
      </c>
      <c r="H53" s="4">
        <v>78.33</v>
      </c>
      <c r="I53" s="4">
        <v>77.099999999999994</v>
      </c>
      <c r="J53" s="9">
        <v>78.42</v>
      </c>
      <c r="K53" s="109">
        <v>32</v>
      </c>
      <c r="L53" s="1">
        <v>13</v>
      </c>
      <c r="M53" s="4">
        <v>78.61</v>
      </c>
      <c r="N53" s="4">
        <v>78.5</v>
      </c>
      <c r="O53" s="9">
        <v>78.569999999999993</v>
      </c>
    </row>
    <row r="54" spans="1:15" x14ac:dyDescent="0.2">
      <c r="A54" s="109"/>
      <c r="B54" s="1">
        <v>21</v>
      </c>
      <c r="C54" s="4">
        <v>74.78</v>
      </c>
      <c r="D54" s="4">
        <v>74.42</v>
      </c>
      <c r="E54" s="9">
        <v>73.92</v>
      </c>
      <c r="F54" s="109"/>
      <c r="G54" s="1">
        <v>21</v>
      </c>
      <c r="H54" s="4">
        <v>78.44</v>
      </c>
      <c r="I54" s="4">
        <v>77.239999999999995</v>
      </c>
      <c r="J54" s="9">
        <v>78.61</v>
      </c>
      <c r="K54" s="109"/>
      <c r="L54" s="1">
        <v>21</v>
      </c>
      <c r="M54" s="4">
        <v>80.33</v>
      </c>
      <c r="N54" s="4">
        <v>79.3</v>
      </c>
      <c r="O54" s="9">
        <v>80.42</v>
      </c>
    </row>
    <row r="55" spans="1:15" x14ac:dyDescent="0.2">
      <c r="A55" s="109"/>
      <c r="B55" s="1">
        <v>47</v>
      </c>
      <c r="C55" s="4">
        <v>74.33</v>
      </c>
      <c r="D55" s="4">
        <v>73.88</v>
      </c>
      <c r="E55" s="9">
        <v>73.97</v>
      </c>
      <c r="F55" s="109"/>
      <c r="G55" s="1">
        <v>47</v>
      </c>
      <c r="H55" s="4">
        <v>78.3</v>
      </c>
      <c r="I55" s="4">
        <v>77.040000000000006</v>
      </c>
      <c r="J55" s="9">
        <v>78.849999999999994</v>
      </c>
      <c r="K55" s="109"/>
      <c r="L55" s="1">
        <v>47</v>
      </c>
      <c r="M55" s="4">
        <v>78.95</v>
      </c>
      <c r="N55" s="4">
        <v>78.41</v>
      </c>
      <c r="O55" s="9">
        <v>79.290000000000006</v>
      </c>
    </row>
    <row r="56" spans="1:15" x14ac:dyDescent="0.2">
      <c r="A56" s="109"/>
      <c r="B56" s="1">
        <v>50</v>
      </c>
      <c r="C56" s="4">
        <v>74.8</v>
      </c>
      <c r="D56" s="4">
        <v>74.150000000000006</v>
      </c>
      <c r="E56" s="9">
        <v>74.53</v>
      </c>
      <c r="F56" s="109"/>
      <c r="G56" s="1">
        <v>50</v>
      </c>
      <c r="H56" s="4">
        <v>78.760000000000005</v>
      </c>
      <c r="I56" s="4">
        <v>76.94</v>
      </c>
      <c r="J56" s="9">
        <v>79.849999999999994</v>
      </c>
      <c r="K56" s="109"/>
      <c r="L56" s="1">
        <v>50</v>
      </c>
      <c r="M56" s="4">
        <v>79.989999999999995</v>
      </c>
      <c r="N56" s="4">
        <v>78.12</v>
      </c>
      <c r="O56" s="9">
        <v>79.819999999999993</v>
      </c>
    </row>
    <row r="57" spans="1:15" x14ac:dyDescent="0.2">
      <c r="A57" s="109"/>
      <c r="B57" s="2">
        <v>91</v>
      </c>
      <c r="C57" s="5">
        <v>74.680000000000007</v>
      </c>
      <c r="D57" s="5">
        <v>74.2</v>
      </c>
      <c r="E57" s="10">
        <v>74.400000000000006</v>
      </c>
      <c r="F57" s="109"/>
      <c r="G57" s="2">
        <v>91</v>
      </c>
      <c r="H57" s="5">
        <v>78.69</v>
      </c>
      <c r="I57" s="5">
        <v>76.709999999999994</v>
      </c>
      <c r="J57" s="10">
        <v>78.73</v>
      </c>
      <c r="K57" s="109"/>
      <c r="L57" s="2">
        <v>91</v>
      </c>
      <c r="M57" s="5">
        <v>79.13</v>
      </c>
      <c r="N57" s="5">
        <v>78.22</v>
      </c>
      <c r="O57" s="10">
        <v>79.540000000000006</v>
      </c>
    </row>
    <row r="58" spans="1:15" x14ac:dyDescent="0.2">
      <c r="A58" s="110"/>
      <c r="B58" s="6" t="s">
        <v>8</v>
      </c>
      <c r="C58" s="7">
        <f>AVERAGE(C53:C57)</f>
        <v>74.628</v>
      </c>
      <c r="D58" s="7">
        <f t="shared" ref="D58:E58" si="34">AVERAGE(D53:D57)</f>
        <v>74.191999999999993</v>
      </c>
      <c r="E58" s="11">
        <f t="shared" si="34"/>
        <v>74.066000000000003</v>
      </c>
      <c r="F58" s="110"/>
      <c r="G58" s="6" t="s">
        <v>8</v>
      </c>
      <c r="H58" s="7">
        <f>AVERAGE(H53:H57)</f>
        <v>78.503999999999991</v>
      </c>
      <c r="I58" s="7">
        <f t="shared" ref="I58:J58" si="35">AVERAGE(I53:I57)</f>
        <v>77.006</v>
      </c>
      <c r="J58" s="11">
        <f t="shared" si="35"/>
        <v>78.89200000000001</v>
      </c>
      <c r="K58" s="110"/>
      <c r="L58" s="6" t="s">
        <v>8</v>
      </c>
      <c r="M58" s="7">
        <f>AVERAGE(M53:M57)</f>
        <v>79.402000000000001</v>
      </c>
      <c r="N58" s="7">
        <f t="shared" ref="N58:O58" si="36">AVERAGE(N53:N57)</f>
        <v>78.510000000000019</v>
      </c>
      <c r="O58" s="11">
        <f t="shared" si="36"/>
        <v>79.528000000000006</v>
      </c>
    </row>
    <row r="59" spans="1:15" x14ac:dyDescent="0.2">
      <c r="A59" s="109">
        <v>64</v>
      </c>
      <c r="B59" s="1">
        <v>13</v>
      </c>
      <c r="C59" s="4">
        <v>74.790000000000006</v>
      </c>
      <c r="D59" s="4">
        <v>74.14</v>
      </c>
      <c r="E59" s="9">
        <v>74.069999999999993</v>
      </c>
      <c r="F59" s="109">
        <v>64</v>
      </c>
      <c r="G59" s="1">
        <v>13</v>
      </c>
      <c r="H59" s="4">
        <v>77.83</v>
      </c>
      <c r="I59" s="4">
        <v>77.28</v>
      </c>
      <c r="J59" s="9">
        <v>78.13</v>
      </c>
      <c r="K59" s="109">
        <v>64</v>
      </c>
      <c r="L59" s="1">
        <v>13</v>
      </c>
      <c r="M59" s="112" t="s">
        <v>9</v>
      </c>
      <c r="N59" s="113"/>
      <c r="O59" s="114"/>
    </row>
    <row r="60" spans="1:15" x14ac:dyDescent="0.2">
      <c r="A60" s="109"/>
      <c r="B60" s="1">
        <v>21</v>
      </c>
      <c r="C60" s="4">
        <v>74.930000000000007</v>
      </c>
      <c r="D60" s="4">
        <v>74.760000000000005</v>
      </c>
      <c r="E60" s="9">
        <v>73.83</v>
      </c>
      <c r="F60" s="109"/>
      <c r="G60" s="1">
        <v>21</v>
      </c>
      <c r="H60" s="4">
        <v>78.14</v>
      </c>
      <c r="I60" s="4">
        <v>77.98</v>
      </c>
      <c r="J60" s="9">
        <v>78.569999999999993</v>
      </c>
      <c r="K60" s="109"/>
      <c r="L60" s="1">
        <v>21</v>
      </c>
      <c r="M60" s="115"/>
      <c r="N60" s="115"/>
      <c r="O60" s="116"/>
    </row>
    <row r="61" spans="1:15" x14ac:dyDescent="0.2">
      <c r="A61" s="109"/>
      <c r="B61" s="1">
        <v>47</v>
      </c>
      <c r="C61" s="4">
        <v>75.31</v>
      </c>
      <c r="D61" s="4">
        <v>75.14</v>
      </c>
      <c r="E61" s="9">
        <v>74.37</v>
      </c>
      <c r="F61" s="109"/>
      <c r="G61" s="1">
        <v>47</v>
      </c>
      <c r="H61" s="4">
        <v>77.760000000000005</v>
      </c>
      <c r="I61" s="4">
        <v>76.69</v>
      </c>
      <c r="J61" s="9">
        <v>78.2</v>
      </c>
      <c r="K61" s="109"/>
      <c r="L61" s="1">
        <v>47</v>
      </c>
      <c r="M61" s="115"/>
      <c r="N61" s="115"/>
      <c r="O61" s="116"/>
    </row>
    <row r="62" spans="1:15" x14ac:dyDescent="0.2">
      <c r="A62" s="109"/>
      <c r="B62" s="1">
        <v>50</v>
      </c>
      <c r="C62" s="4">
        <v>75.010000000000005</v>
      </c>
      <c r="D62" s="4">
        <v>74.819999999999993</v>
      </c>
      <c r="E62" s="9">
        <v>75.48</v>
      </c>
      <c r="F62" s="109"/>
      <c r="G62" s="1">
        <v>50</v>
      </c>
      <c r="H62" s="4">
        <v>77.540000000000006</v>
      </c>
      <c r="I62" s="4">
        <v>77.739999999999995</v>
      </c>
      <c r="J62" s="9">
        <v>77.42</v>
      </c>
      <c r="K62" s="109"/>
      <c r="L62" s="1">
        <v>50</v>
      </c>
      <c r="M62" s="115"/>
      <c r="N62" s="115"/>
      <c r="O62" s="116"/>
    </row>
    <row r="63" spans="1:15" x14ac:dyDescent="0.2">
      <c r="A63" s="109"/>
      <c r="B63" s="2">
        <v>91</v>
      </c>
      <c r="C63" s="5">
        <v>75.3</v>
      </c>
      <c r="D63" s="5">
        <v>75.09</v>
      </c>
      <c r="E63" s="10">
        <v>74.45</v>
      </c>
      <c r="F63" s="109"/>
      <c r="G63" s="2">
        <v>91</v>
      </c>
      <c r="H63" s="5">
        <v>77.83</v>
      </c>
      <c r="I63" s="5">
        <v>76.69</v>
      </c>
      <c r="J63" s="10">
        <v>78.03</v>
      </c>
      <c r="K63" s="109"/>
      <c r="L63" s="2">
        <v>91</v>
      </c>
      <c r="M63" s="117"/>
      <c r="N63" s="117"/>
      <c r="O63" s="118"/>
    </row>
    <row r="64" spans="1:15" x14ac:dyDescent="0.2">
      <c r="A64" s="110"/>
      <c r="B64" s="6" t="s">
        <v>8</v>
      </c>
      <c r="C64" s="7">
        <f>AVERAGE(C59:C63)</f>
        <v>75.068000000000012</v>
      </c>
      <c r="D64" s="7">
        <f t="shared" ref="D64:E64" si="37">AVERAGE(D59:D63)</f>
        <v>74.790000000000006</v>
      </c>
      <c r="E64" s="11">
        <f t="shared" si="37"/>
        <v>74.44</v>
      </c>
      <c r="F64" s="110"/>
      <c r="G64" s="6" t="s">
        <v>8</v>
      </c>
      <c r="H64" s="7">
        <f>AVERAGE(H59:H63)</f>
        <v>77.820000000000007</v>
      </c>
      <c r="I64" s="7">
        <f t="shared" ref="I64:J64" si="38">AVERAGE(I59:I63)</f>
        <v>77.275999999999996</v>
      </c>
      <c r="J64" s="11">
        <f t="shared" si="38"/>
        <v>78.070000000000007</v>
      </c>
      <c r="K64" s="110"/>
      <c r="L64" s="6" t="s">
        <v>8</v>
      </c>
      <c r="M64" s="7" t="e">
        <f>AVERAGE(M59:M63)</f>
        <v>#DIV/0!</v>
      </c>
      <c r="N64" s="7" t="e">
        <f t="shared" ref="N64:O64" si="39">AVERAGE(N59:N63)</f>
        <v>#DIV/0!</v>
      </c>
      <c r="O64" s="11" t="e">
        <f t="shared" si="39"/>
        <v>#DIV/0!</v>
      </c>
    </row>
    <row r="65" spans="1:15" x14ac:dyDescent="0.2">
      <c r="D65" s="4">
        <f>D64-D46</f>
        <v>2.465999999999994</v>
      </c>
      <c r="E65" s="4">
        <f>E64-E46</f>
        <v>3.5840000000000032</v>
      </c>
    </row>
    <row r="67" spans="1:15" x14ac:dyDescent="0.2">
      <c r="A67" s="1" t="s">
        <v>18</v>
      </c>
      <c r="B67" s="1" t="s">
        <v>19</v>
      </c>
    </row>
    <row r="68" spans="1:15" x14ac:dyDescent="0.2">
      <c r="A68" s="108" t="s">
        <v>0</v>
      </c>
      <c r="B68" s="108"/>
      <c r="C68" s="108"/>
      <c r="D68" s="108"/>
      <c r="E68" s="111"/>
      <c r="F68" s="108" t="s">
        <v>1</v>
      </c>
      <c r="G68" s="108"/>
      <c r="H68" s="108"/>
      <c r="I68" s="108"/>
      <c r="J68" s="111"/>
      <c r="K68" s="108" t="s">
        <v>2</v>
      </c>
      <c r="L68" s="108"/>
      <c r="M68" s="108"/>
      <c r="N68" s="108"/>
      <c r="O68" s="111"/>
    </row>
    <row r="69" spans="1:15" x14ac:dyDescent="0.2">
      <c r="A69" s="3" t="s">
        <v>3</v>
      </c>
      <c r="B69" s="3" t="s">
        <v>4</v>
      </c>
      <c r="C69" s="3" t="s">
        <v>5</v>
      </c>
      <c r="D69" s="3" t="s">
        <v>6</v>
      </c>
      <c r="E69" s="12" t="s">
        <v>7</v>
      </c>
      <c r="F69" s="3" t="s">
        <v>3</v>
      </c>
      <c r="G69" s="3" t="s">
        <v>4</v>
      </c>
      <c r="H69" s="3" t="s">
        <v>5</v>
      </c>
      <c r="I69" s="3" t="s">
        <v>6</v>
      </c>
      <c r="J69" s="12" t="s">
        <v>7</v>
      </c>
      <c r="K69" s="3" t="s">
        <v>3</v>
      </c>
      <c r="L69" s="3" t="s">
        <v>4</v>
      </c>
      <c r="M69" s="3" t="s">
        <v>5</v>
      </c>
      <c r="N69" s="3" t="s">
        <v>6</v>
      </c>
      <c r="O69" s="12" t="s">
        <v>7</v>
      </c>
    </row>
    <row r="70" spans="1:15" x14ac:dyDescent="0.2">
      <c r="A70" s="109">
        <v>8</v>
      </c>
      <c r="B70" s="1">
        <v>13</v>
      </c>
      <c r="C70" s="1">
        <v>71.58</v>
      </c>
      <c r="D70" s="1">
        <v>71.44</v>
      </c>
      <c r="E70" s="8">
        <v>72.87</v>
      </c>
      <c r="F70" s="109">
        <v>8</v>
      </c>
      <c r="G70" s="1">
        <v>13</v>
      </c>
      <c r="H70" s="1">
        <v>72.260000000000005</v>
      </c>
      <c r="I70" s="1">
        <v>72.98</v>
      </c>
      <c r="J70" s="8">
        <v>73.58</v>
      </c>
      <c r="K70" s="109">
        <v>8</v>
      </c>
      <c r="L70" s="1">
        <v>13</v>
      </c>
      <c r="M70" s="1">
        <v>73.13</v>
      </c>
      <c r="N70" s="1">
        <v>72.95</v>
      </c>
      <c r="O70" s="8">
        <v>74.37</v>
      </c>
    </row>
    <row r="71" spans="1:15" x14ac:dyDescent="0.2">
      <c r="A71" s="109"/>
      <c r="B71" s="1">
        <v>21</v>
      </c>
      <c r="C71" s="4">
        <v>69.349999999999994</v>
      </c>
      <c r="D71" s="4">
        <v>69.19</v>
      </c>
      <c r="E71" s="9">
        <v>71.89</v>
      </c>
      <c r="F71" s="109"/>
      <c r="G71" s="1">
        <v>21</v>
      </c>
      <c r="H71" s="4">
        <v>71.98</v>
      </c>
      <c r="I71" s="4">
        <v>72.61</v>
      </c>
      <c r="J71" s="9">
        <v>72.59</v>
      </c>
      <c r="K71" s="109"/>
      <c r="L71" s="1">
        <v>21</v>
      </c>
      <c r="M71" s="4">
        <v>73.41</v>
      </c>
      <c r="N71" s="4">
        <v>73.400000000000006</v>
      </c>
      <c r="O71" s="9">
        <v>74.599999999999994</v>
      </c>
    </row>
    <row r="72" spans="1:15" x14ac:dyDescent="0.2">
      <c r="A72" s="109"/>
      <c r="B72" s="1">
        <v>47</v>
      </c>
      <c r="C72" s="4">
        <v>71.75</v>
      </c>
      <c r="D72" s="4">
        <v>71.790000000000006</v>
      </c>
      <c r="E72" s="9">
        <v>73.31</v>
      </c>
      <c r="F72" s="109"/>
      <c r="G72" s="1">
        <v>47</v>
      </c>
      <c r="H72" s="4">
        <v>71.87</v>
      </c>
      <c r="I72" s="4">
        <v>72.430000000000007</v>
      </c>
      <c r="J72" s="9">
        <v>72.55</v>
      </c>
      <c r="K72" s="109"/>
      <c r="L72" s="1">
        <v>47</v>
      </c>
      <c r="M72" s="4">
        <v>73.849999999999994</v>
      </c>
      <c r="N72" s="4">
        <v>74.14</v>
      </c>
      <c r="O72" s="9">
        <v>75.760000000000005</v>
      </c>
    </row>
    <row r="73" spans="1:15" x14ac:dyDescent="0.2">
      <c r="A73" s="109"/>
      <c r="B73" s="1">
        <v>50</v>
      </c>
      <c r="C73" s="4">
        <v>71.430000000000007</v>
      </c>
      <c r="D73" s="4">
        <v>71.33</v>
      </c>
      <c r="E73" s="9">
        <v>73.069999999999993</v>
      </c>
      <c r="F73" s="109"/>
      <c r="G73" s="1">
        <v>50</v>
      </c>
      <c r="H73" s="4">
        <v>71.540000000000006</v>
      </c>
      <c r="I73" s="4">
        <v>71.61</v>
      </c>
      <c r="J73" s="9">
        <v>72.16</v>
      </c>
      <c r="K73" s="109"/>
      <c r="L73" s="1">
        <v>50</v>
      </c>
      <c r="M73" s="4">
        <v>73.25</v>
      </c>
      <c r="N73" s="4">
        <v>73.41</v>
      </c>
      <c r="O73" s="9">
        <v>74.760000000000005</v>
      </c>
    </row>
    <row r="74" spans="1:15" x14ac:dyDescent="0.2">
      <c r="A74" s="109"/>
      <c r="B74" s="2">
        <v>91</v>
      </c>
      <c r="C74" s="5">
        <v>71.510000000000005</v>
      </c>
      <c r="D74" s="5">
        <v>71.47</v>
      </c>
      <c r="E74" s="10">
        <v>73.25</v>
      </c>
      <c r="F74" s="109"/>
      <c r="G74" s="2">
        <v>91</v>
      </c>
      <c r="H74" s="5">
        <v>71.87</v>
      </c>
      <c r="I74" s="5">
        <v>72.55</v>
      </c>
      <c r="J74" s="10">
        <v>72.709999999999994</v>
      </c>
      <c r="K74" s="109"/>
      <c r="L74" s="2">
        <v>91</v>
      </c>
      <c r="M74" s="5">
        <v>73.63</v>
      </c>
      <c r="N74" s="5">
        <v>73.84</v>
      </c>
      <c r="O74" s="10">
        <v>74.73</v>
      </c>
    </row>
    <row r="75" spans="1:15" x14ac:dyDescent="0.2">
      <c r="A75" s="110"/>
      <c r="B75" s="6" t="s">
        <v>8</v>
      </c>
      <c r="C75" s="7">
        <f>AVERAGE(C70:C74)</f>
        <v>71.123999999999995</v>
      </c>
      <c r="D75" s="7">
        <f t="shared" ref="D75" si="40">AVERAGE(D70:D74)</f>
        <v>71.044000000000011</v>
      </c>
      <c r="E75" s="11">
        <f>AVERAGE(E70:E74)</f>
        <v>72.878</v>
      </c>
      <c r="F75" s="110"/>
      <c r="G75" s="6" t="s">
        <v>8</v>
      </c>
      <c r="H75" s="7">
        <f>AVERAGE(H70:H74)</f>
        <v>71.904000000000011</v>
      </c>
      <c r="I75" s="7">
        <f t="shared" ref="I75:J75" si="41">AVERAGE(I70:I74)</f>
        <v>72.436000000000007</v>
      </c>
      <c r="J75" s="11">
        <f t="shared" si="41"/>
        <v>72.717999999999989</v>
      </c>
      <c r="K75" s="110"/>
      <c r="L75" s="6" t="s">
        <v>8</v>
      </c>
      <c r="M75" s="7">
        <f>AVERAGE(M70:M74)</f>
        <v>73.453999999999994</v>
      </c>
      <c r="N75" s="7">
        <f t="shared" ref="N75:O75" si="42">AVERAGE(N70:N74)</f>
        <v>73.548000000000002</v>
      </c>
      <c r="O75" s="11">
        <f t="shared" si="42"/>
        <v>74.844000000000008</v>
      </c>
    </row>
    <row r="76" spans="1:15" x14ac:dyDescent="0.2">
      <c r="A76" s="109">
        <v>16</v>
      </c>
      <c r="B76" s="1">
        <v>13</v>
      </c>
      <c r="C76" s="4">
        <v>74.819999999999993</v>
      </c>
      <c r="D76" s="4">
        <v>75</v>
      </c>
      <c r="E76" s="9">
        <v>76.5</v>
      </c>
      <c r="F76" s="109">
        <v>16</v>
      </c>
      <c r="G76" s="1">
        <v>13</v>
      </c>
      <c r="H76" s="4">
        <v>75.97</v>
      </c>
      <c r="I76" s="4">
        <v>76.59</v>
      </c>
      <c r="J76" s="9">
        <v>77.569999999999993</v>
      </c>
      <c r="K76" s="109">
        <v>16</v>
      </c>
      <c r="L76" s="1">
        <v>13</v>
      </c>
      <c r="M76" s="4">
        <v>77.2</v>
      </c>
      <c r="N76" s="4">
        <v>77.73</v>
      </c>
      <c r="O76" s="9">
        <v>78.45</v>
      </c>
    </row>
    <row r="77" spans="1:15" x14ac:dyDescent="0.2">
      <c r="A77" s="109"/>
      <c r="B77" s="1">
        <v>21</v>
      </c>
      <c r="C77" s="4">
        <v>74.45</v>
      </c>
      <c r="D77" s="4">
        <v>75.040000000000006</v>
      </c>
      <c r="E77" s="9">
        <v>75.75</v>
      </c>
      <c r="F77" s="109"/>
      <c r="G77" s="1">
        <v>21</v>
      </c>
      <c r="H77" s="4">
        <v>75.94</v>
      </c>
      <c r="I77" s="4">
        <v>76.760000000000005</v>
      </c>
      <c r="J77" s="9">
        <v>77.28</v>
      </c>
      <c r="K77" s="109"/>
      <c r="L77" s="1">
        <v>21</v>
      </c>
      <c r="M77" s="4">
        <v>77.239999999999995</v>
      </c>
      <c r="N77" s="4">
        <v>77.900000000000006</v>
      </c>
      <c r="O77" s="9">
        <v>78.61</v>
      </c>
    </row>
    <row r="78" spans="1:15" x14ac:dyDescent="0.2">
      <c r="A78" s="109"/>
      <c r="B78" s="1">
        <v>47</v>
      </c>
      <c r="C78" s="4">
        <v>74.97</v>
      </c>
      <c r="D78" s="4">
        <v>75.22</v>
      </c>
      <c r="E78" s="9">
        <v>76.569999999999993</v>
      </c>
      <c r="F78" s="109"/>
      <c r="G78" s="1">
        <v>47</v>
      </c>
      <c r="H78" s="4">
        <v>75.930000000000007</v>
      </c>
      <c r="I78" s="4">
        <v>76.709999999999994</v>
      </c>
      <c r="J78" s="9">
        <v>76.97</v>
      </c>
      <c r="K78" s="109"/>
      <c r="L78" s="1">
        <v>47</v>
      </c>
      <c r="M78" s="4">
        <v>77.34</v>
      </c>
      <c r="N78" s="4">
        <v>77.760000000000005</v>
      </c>
      <c r="O78" s="9">
        <v>78.790000000000006</v>
      </c>
    </row>
    <row r="79" spans="1:15" x14ac:dyDescent="0.2">
      <c r="A79" s="109"/>
      <c r="B79" s="1">
        <v>50</v>
      </c>
      <c r="C79" s="4">
        <v>74.77</v>
      </c>
      <c r="D79" s="4">
        <v>75.59</v>
      </c>
      <c r="E79" s="9">
        <v>76.12</v>
      </c>
      <c r="F79" s="109"/>
      <c r="G79" s="1">
        <v>50</v>
      </c>
      <c r="H79" s="4">
        <v>75.81</v>
      </c>
      <c r="I79" s="4">
        <v>76.36</v>
      </c>
      <c r="J79" s="9">
        <v>77.64</v>
      </c>
      <c r="K79" s="109"/>
      <c r="L79" s="1">
        <v>50</v>
      </c>
      <c r="M79" s="4">
        <v>77.36</v>
      </c>
      <c r="N79" s="4">
        <v>78.180000000000007</v>
      </c>
      <c r="O79" s="9">
        <v>78.75</v>
      </c>
    </row>
    <row r="80" spans="1:15" x14ac:dyDescent="0.2">
      <c r="A80" s="109"/>
      <c r="B80" s="2">
        <v>91</v>
      </c>
      <c r="C80" s="5">
        <v>74.7</v>
      </c>
      <c r="D80" s="5">
        <v>74.97</v>
      </c>
      <c r="E80" s="10">
        <v>76.2</v>
      </c>
      <c r="F80" s="109"/>
      <c r="G80" s="2">
        <v>91</v>
      </c>
      <c r="H80" s="5">
        <v>76.02</v>
      </c>
      <c r="I80" s="5">
        <v>76.67</v>
      </c>
      <c r="J80" s="10">
        <v>77.319999999999993</v>
      </c>
      <c r="K80" s="109"/>
      <c r="L80" s="2">
        <v>91</v>
      </c>
      <c r="M80" s="5">
        <v>77.290000000000006</v>
      </c>
      <c r="N80" s="5">
        <v>77.83</v>
      </c>
      <c r="O80" s="10">
        <v>78.540000000000006</v>
      </c>
    </row>
    <row r="81" spans="1:15" x14ac:dyDescent="0.2">
      <c r="A81" s="110"/>
      <c r="B81" s="6" t="s">
        <v>8</v>
      </c>
      <c r="C81" s="7">
        <f>AVERAGE(C76:C80)</f>
        <v>74.74199999999999</v>
      </c>
      <c r="D81" s="7">
        <f t="shared" ref="D81:E81" si="43">AVERAGE(D76:D80)</f>
        <v>75.164000000000016</v>
      </c>
      <c r="E81" s="11">
        <f t="shared" si="43"/>
        <v>76.227999999999994</v>
      </c>
      <c r="F81" s="110"/>
      <c r="G81" s="6" t="s">
        <v>8</v>
      </c>
      <c r="H81" s="7">
        <f>AVERAGE(H76:H80)</f>
        <v>75.933999999999997</v>
      </c>
      <c r="I81" s="7">
        <f t="shared" ref="I81:J81" si="44">AVERAGE(I76:I80)</f>
        <v>76.618000000000009</v>
      </c>
      <c r="J81" s="11">
        <f t="shared" si="44"/>
        <v>77.355999999999995</v>
      </c>
      <c r="K81" s="110"/>
      <c r="L81" s="6" t="s">
        <v>8</v>
      </c>
      <c r="M81" s="7">
        <f>AVERAGE(M76:M80)</f>
        <v>77.286000000000001</v>
      </c>
      <c r="N81" s="7">
        <f t="shared" ref="N81:O81" si="45">AVERAGE(N76:N80)</f>
        <v>77.88</v>
      </c>
      <c r="O81" s="11">
        <f t="shared" si="45"/>
        <v>78.628000000000014</v>
      </c>
    </row>
    <row r="82" spans="1:15" x14ac:dyDescent="0.2">
      <c r="A82" s="109">
        <v>32</v>
      </c>
      <c r="B82" s="1">
        <v>13</v>
      </c>
      <c r="C82" s="4">
        <v>75.53</v>
      </c>
      <c r="D82" s="4">
        <v>75.930000000000007</v>
      </c>
      <c r="E82" s="9">
        <v>77.28</v>
      </c>
      <c r="F82" s="109">
        <v>32</v>
      </c>
      <c r="G82" s="1">
        <v>13</v>
      </c>
      <c r="H82" s="4">
        <v>76.47</v>
      </c>
      <c r="I82" s="4">
        <v>77.010000000000005</v>
      </c>
      <c r="J82" s="9">
        <v>78.3</v>
      </c>
      <c r="K82" s="109">
        <v>32</v>
      </c>
      <c r="L82" s="1">
        <v>13</v>
      </c>
      <c r="M82" s="4">
        <v>80.17</v>
      </c>
      <c r="N82" s="4">
        <v>80.45</v>
      </c>
      <c r="O82" s="9">
        <v>80.930000000000007</v>
      </c>
    </row>
    <row r="83" spans="1:15" x14ac:dyDescent="0.2">
      <c r="A83" s="109"/>
      <c r="B83" s="1">
        <v>21</v>
      </c>
      <c r="C83" s="4">
        <v>75.59</v>
      </c>
      <c r="D83" s="4">
        <v>76.03</v>
      </c>
      <c r="E83" s="9">
        <v>77.06</v>
      </c>
      <c r="F83" s="109"/>
      <c r="G83" s="1">
        <v>21</v>
      </c>
      <c r="H83" s="4">
        <v>76.84</v>
      </c>
      <c r="I83" s="4">
        <v>77.3</v>
      </c>
      <c r="J83" s="9">
        <v>78.02</v>
      </c>
      <c r="K83" s="109"/>
      <c r="L83" s="1">
        <v>21</v>
      </c>
      <c r="M83" s="4">
        <v>79.099999999999994</v>
      </c>
      <c r="N83" s="4">
        <v>79.930000000000007</v>
      </c>
      <c r="O83" s="9">
        <v>80.489999999999995</v>
      </c>
    </row>
    <row r="84" spans="1:15" x14ac:dyDescent="0.2">
      <c r="A84" s="109"/>
      <c r="B84" s="1">
        <v>47</v>
      </c>
      <c r="C84" s="4">
        <v>75.739999999999995</v>
      </c>
      <c r="D84" s="4">
        <v>76.239999999999995</v>
      </c>
      <c r="E84" s="9">
        <v>76.290000000000006</v>
      </c>
      <c r="F84" s="109"/>
      <c r="G84" s="1">
        <v>47</v>
      </c>
      <c r="H84" s="4">
        <v>76.05</v>
      </c>
      <c r="I84" s="4">
        <v>76.59</v>
      </c>
      <c r="J84" s="9">
        <v>77.59</v>
      </c>
      <c r="K84" s="109"/>
      <c r="L84" s="1">
        <v>47</v>
      </c>
      <c r="M84" s="4">
        <v>79.319999999999993</v>
      </c>
      <c r="N84" s="4">
        <v>79.66</v>
      </c>
      <c r="O84" s="9">
        <v>80.099999999999994</v>
      </c>
    </row>
    <row r="85" spans="1:15" x14ac:dyDescent="0.2">
      <c r="A85" s="109"/>
      <c r="B85" s="1">
        <v>50</v>
      </c>
      <c r="C85" s="4">
        <v>75.290000000000006</v>
      </c>
      <c r="D85" s="4">
        <v>75.91</v>
      </c>
      <c r="E85" s="9">
        <v>76.7</v>
      </c>
      <c r="F85" s="109"/>
      <c r="G85" s="1">
        <v>50</v>
      </c>
      <c r="H85" s="4">
        <v>76.73</v>
      </c>
      <c r="I85" s="4">
        <v>77.459999999999994</v>
      </c>
      <c r="J85" s="9">
        <v>78.16</v>
      </c>
      <c r="K85" s="109"/>
      <c r="L85" s="1">
        <v>50</v>
      </c>
      <c r="M85" s="4">
        <v>79.92</v>
      </c>
      <c r="N85" s="4">
        <v>80.25</v>
      </c>
      <c r="O85" s="9">
        <v>80.83</v>
      </c>
    </row>
    <row r="86" spans="1:15" x14ac:dyDescent="0.2">
      <c r="A86" s="109"/>
      <c r="B86" s="2">
        <v>91</v>
      </c>
      <c r="C86" s="5">
        <v>75.319999999999993</v>
      </c>
      <c r="D86" s="5">
        <v>75.73</v>
      </c>
      <c r="E86" s="10">
        <v>75.900000000000006</v>
      </c>
      <c r="F86" s="109"/>
      <c r="G86" s="2">
        <v>91</v>
      </c>
      <c r="H86" s="5">
        <v>76.900000000000006</v>
      </c>
      <c r="I86" s="5">
        <v>77.47</v>
      </c>
      <c r="J86" s="10">
        <v>78.27</v>
      </c>
      <c r="K86" s="109"/>
      <c r="L86" s="2">
        <v>91</v>
      </c>
      <c r="M86" s="5">
        <v>78.66</v>
      </c>
      <c r="N86" s="5">
        <v>80.25</v>
      </c>
      <c r="O86" s="10">
        <v>80.83</v>
      </c>
    </row>
    <row r="87" spans="1:15" x14ac:dyDescent="0.2">
      <c r="A87" s="110"/>
      <c r="B87" s="6" t="s">
        <v>8</v>
      </c>
      <c r="C87" s="7">
        <f>AVERAGE(C82:C86)</f>
        <v>75.494</v>
      </c>
      <c r="D87" s="7">
        <f t="shared" ref="D87:E87" si="46">AVERAGE(D82:D86)</f>
        <v>75.968000000000004</v>
      </c>
      <c r="E87" s="11">
        <f t="shared" si="46"/>
        <v>76.646000000000001</v>
      </c>
      <c r="F87" s="110"/>
      <c r="G87" s="6" t="s">
        <v>8</v>
      </c>
      <c r="H87" s="7">
        <f>AVERAGE(H82:H86)</f>
        <v>76.597999999999999</v>
      </c>
      <c r="I87" s="7">
        <f t="shared" ref="I87:J87" si="47">AVERAGE(I82:I86)</f>
        <v>77.166000000000011</v>
      </c>
      <c r="J87" s="11">
        <f t="shared" si="47"/>
        <v>78.067999999999998</v>
      </c>
      <c r="K87" s="110"/>
      <c r="L87" s="6" t="s">
        <v>8</v>
      </c>
      <c r="M87" s="7">
        <f>AVERAGE(M82:M86)</f>
        <v>79.433999999999997</v>
      </c>
      <c r="N87" s="7">
        <f t="shared" ref="N87:O87" si="48">AVERAGE(N82:N86)</f>
        <v>80.10799999999999</v>
      </c>
      <c r="O87" s="11">
        <f t="shared" si="48"/>
        <v>80.635999999999996</v>
      </c>
    </row>
    <row r="88" spans="1:15" x14ac:dyDescent="0.2">
      <c r="A88" s="109">
        <v>64</v>
      </c>
      <c r="B88" s="1">
        <v>13</v>
      </c>
      <c r="C88" s="4">
        <v>75.36</v>
      </c>
      <c r="D88" s="4">
        <v>75.650000000000006</v>
      </c>
      <c r="E88" s="9">
        <v>77.17</v>
      </c>
      <c r="F88" s="109">
        <v>64</v>
      </c>
      <c r="G88" s="1">
        <v>13</v>
      </c>
      <c r="H88" s="4">
        <v>76.44</v>
      </c>
      <c r="I88" s="4">
        <v>77.150000000000006</v>
      </c>
      <c r="J88" s="9">
        <v>77.12</v>
      </c>
      <c r="K88" s="109">
        <v>64</v>
      </c>
      <c r="L88" s="1">
        <v>13</v>
      </c>
      <c r="M88" s="112" t="s">
        <v>9</v>
      </c>
      <c r="N88" s="113"/>
      <c r="O88" s="114"/>
    </row>
    <row r="89" spans="1:15" x14ac:dyDescent="0.2">
      <c r="A89" s="109"/>
      <c r="B89" s="1">
        <v>21</v>
      </c>
      <c r="C89" s="4">
        <v>75.19</v>
      </c>
      <c r="D89" s="4">
        <v>75.61</v>
      </c>
      <c r="E89" s="9">
        <v>77.040000000000006</v>
      </c>
      <c r="F89" s="109"/>
      <c r="G89" s="1">
        <v>21</v>
      </c>
      <c r="H89" s="4">
        <v>76.28</v>
      </c>
      <c r="I89" s="4">
        <v>76.66</v>
      </c>
      <c r="J89" s="9">
        <v>77.64</v>
      </c>
      <c r="K89" s="109"/>
      <c r="L89" s="1">
        <v>21</v>
      </c>
      <c r="M89" s="115"/>
      <c r="N89" s="115"/>
      <c r="O89" s="116"/>
    </row>
    <row r="90" spans="1:15" x14ac:dyDescent="0.2">
      <c r="A90" s="109"/>
      <c r="B90" s="1">
        <v>47</v>
      </c>
      <c r="C90" s="4">
        <v>75.39</v>
      </c>
      <c r="D90" s="4">
        <v>76.040000000000006</v>
      </c>
      <c r="E90" s="9">
        <v>76.72</v>
      </c>
      <c r="F90" s="109"/>
      <c r="G90" s="1">
        <v>47</v>
      </c>
      <c r="H90" s="4">
        <v>76.349999999999994</v>
      </c>
      <c r="I90" s="4">
        <v>76.95</v>
      </c>
      <c r="J90" s="9">
        <v>77.91</v>
      </c>
      <c r="K90" s="109"/>
      <c r="L90" s="1">
        <v>47</v>
      </c>
      <c r="M90" s="115"/>
      <c r="N90" s="115"/>
      <c r="O90" s="116"/>
    </row>
    <row r="91" spans="1:15" x14ac:dyDescent="0.2">
      <c r="A91" s="109"/>
      <c r="B91" s="1">
        <v>50</v>
      </c>
      <c r="C91" s="4">
        <v>75.010000000000005</v>
      </c>
      <c r="D91" s="4">
        <v>75.17</v>
      </c>
      <c r="E91" s="9">
        <v>77.260000000000005</v>
      </c>
      <c r="F91" s="109"/>
      <c r="G91" s="1">
        <v>50</v>
      </c>
      <c r="H91" s="4">
        <v>76.069999999999993</v>
      </c>
      <c r="I91" s="4">
        <v>76.42</v>
      </c>
      <c r="J91" s="9">
        <v>77.8</v>
      </c>
      <c r="K91" s="109"/>
      <c r="L91" s="1">
        <v>50</v>
      </c>
      <c r="M91" s="115"/>
      <c r="N91" s="115"/>
      <c r="O91" s="116"/>
    </row>
    <row r="92" spans="1:15" x14ac:dyDescent="0.2">
      <c r="A92" s="109"/>
      <c r="B92" s="2">
        <v>91</v>
      </c>
      <c r="C92" s="5">
        <v>75.16</v>
      </c>
      <c r="D92" s="5">
        <v>75.790000000000006</v>
      </c>
      <c r="E92" s="10">
        <v>76.67</v>
      </c>
      <c r="F92" s="109"/>
      <c r="G92" s="2">
        <v>91</v>
      </c>
      <c r="H92" s="5">
        <v>75.95</v>
      </c>
      <c r="I92" s="5">
        <v>76.56</v>
      </c>
      <c r="J92" s="10">
        <v>77.709999999999994</v>
      </c>
      <c r="K92" s="109"/>
      <c r="L92" s="2">
        <v>91</v>
      </c>
      <c r="M92" s="117"/>
      <c r="N92" s="117"/>
      <c r="O92" s="118"/>
    </row>
    <row r="93" spans="1:15" x14ac:dyDescent="0.2">
      <c r="A93" s="110"/>
      <c r="B93" s="6" t="s">
        <v>8</v>
      </c>
      <c r="C93" s="7">
        <f>AVERAGE(C88:C92)</f>
        <v>75.222000000000008</v>
      </c>
      <c r="D93" s="7">
        <f t="shared" ref="D93:E93" si="49">AVERAGE(D88:D92)</f>
        <v>75.652000000000015</v>
      </c>
      <c r="E93" s="11">
        <f t="shared" si="49"/>
        <v>76.972000000000008</v>
      </c>
      <c r="F93" s="110"/>
      <c r="G93" s="6" t="s">
        <v>8</v>
      </c>
      <c r="H93" s="7">
        <f>AVERAGE(H88:H92)</f>
        <v>76.217999999999989</v>
      </c>
      <c r="I93" s="7">
        <f t="shared" ref="I93:J93" si="50">AVERAGE(I88:I92)</f>
        <v>76.748000000000005</v>
      </c>
      <c r="J93" s="11">
        <f t="shared" si="50"/>
        <v>77.635999999999996</v>
      </c>
      <c r="K93" s="110"/>
      <c r="L93" s="6" t="s">
        <v>8</v>
      </c>
      <c r="M93" s="7" t="e">
        <f>AVERAGE(M88:M92)</f>
        <v>#DIV/0!</v>
      </c>
      <c r="N93" s="7" t="e">
        <f t="shared" ref="N93:O93" si="51">AVERAGE(N88:N92)</f>
        <v>#DIV/0!</v>
      </c>
      <c r="O93" s="11" t="e">
        <f t="shared" si="51"/>
        <v>#DIV/0!</v>
      </c>
    </row>
    <row r="94" spans="1:15" x14ac:dyDescent="0.2">
      <c r="D94" s="4">
        <f>D93-D75</f>
        <v>4.6080000000000041</v>
      </c>
    </row>
    <row r="96" spans="1:15" x14ac:dyDescent="0.2">
      <c r="A96" s="108" t="s">
        <v>15</v>
      </c>
      <c r="B96" s="108"/>
      <c r="C96" s="108"/>
      <c r="D96" s="108"/>
      <c r="E96" s="111"/>
      <c r="F96" s="108" t="s">
        <v>16</v>
      </c>
      <c r="G96" s="108"/>
      <c r="H96" s="108"/>
      <c r="I96" s="108"/>
      <c r="J96" s="111"/>
      <c r="K96" s="108" t="s">
        <v>17</v>
      </c>
      <c r="L96" s="108"/>
      <c r="M96" s="108"/>
      <c r="N96" s="108"/>
      <c r="O96" s="111"/>
    </row>
    <row r="97" spans="1:15" x14ac:dyDescent="0.2">
      <c r="A97" s="3" t="s">
        <v>3</v>
      </c>
      <c r="B97" s="3" t="s">
        <v>4</v>
      </c>
      <c r="C97" s="3" t="s">
        <v>5</v>
      </c>
      <c r="D97" s="3" t="s">
        <v>6</v>
      </c>
      <c r="E97" s="12" t="s">
        <v>7</v>
      </c>
      <c r="F97" s="3" t="s">
        <v>3</v>
      </c>
      <c r="G97" s="3" t="s">
        <v>4</v>
      </c>
      <c r="H97" s="3" t="s">
        <v>5</v>
      </c>
      <c r="I97" s="3" t="s">
        <v>6</v>
      </c>
      <c r="J97" s="12" t="s">
        <v>7</v>
      </c>
      <c r="K97" s="3" t="s">
        <v>3</v>
      </c>
      <c r="L97" s="3" t="s">
        <v>4</v>
      </c>
      <c r="M97" s="3" t="s">
        <v>5</v>
      </c>
      <c r="N97" s="3" t="s">
        <v>6</v>
      </c>
      <c r="O97" s="12" t="s">
        <v>7</v>
      </c>
    </row>
    <row r="98" spans="1:15" x14ac:dyDescent="0.2">
      <c r="A98" s="109">
        <v>8</v>
      </c>
      <c r="B98" s="1">
        <v>13</v>
      </c>
      <c r="C98" s="4">
        <v>73</v>
      </c>
      <c r="D98" s="1">
        <v>72.69</v>
      </c>
      <c r="E98" s="8">
        <v>71.739999999999995</v>
      </c>
      <c r="F98" s="109">
        <v>8</v>
      </c>
      <c r="G98" s="1">
        <v>13</v>
      </c>
      <c r="H98" s="1">
        <v>76.010000000000005</v>
      </c>
      <c r="I98" s="4">
        <v>75.7</v>
      </c>
      <c r="J98" s="8">
        <v>75.39</v>
      </c>
      <c r="K98" s="109">
        <v>8</v>
      </c>
      <c r="L98" s="1">
        <v>13</v>
      </c>
      <c r="M98" s="1">
        <v>77.260000000000005</v>
      </c>
      <c r="N98" s="1">
        <v>77.319999999999993</v>
      </c>
      <c r="O98" s="8">
        <v>76.209999999999994</v>
      </c>
    </row>
    <row r="99" spans="1:15" x14ac:dyDescent="0.2">
      <c r="A99" s="109"/>
      <c r="B99" s="1">
        <v>21</v>
      </c>
      <c r="C99" s="4">
        <v>72.7</v>
      </c>
      <c r="D99" s="4">
        <v>72.38</v>
      </c>
      <c r="E99" s="9">
        <v>70.34</v>
      </c>
      <c r="F99" s="109"/>
      <c r="G99" s="1">
        <v>21</v>
      </c>
      <c r="H99" s="4">
        <v>76.05</v>
      </c>
      <c r="I99" s="4">
        <v>75.8</v>
      </c>
      <c r="J99" s="9">
        <v>74.94</v>
      </c>
      <c r="K99" s="109"/>
      <c r="L99" s="1">
        <v>21</v>
      </c>
      <c r="M99" s="4">
        <v>77.63</v>
      </c>
      <c r="N99" s="4">
        <v>77.34</v>
      </c>
      <c r="O99" s="9">
        <v>76.58</v>
      </c>
    </row>
    <row r="100" spans="1:15" x14ac:dyDescent="0.2">
      <c r="A100" s="109"/>
      <c r="B100" s="1">
        <v>47</v>
      </c>
      <c r="C100" s="4">
        <v>73.28</v>
      </c>
      <c r="D100" s="4">
        <v>73.08</v>
      </c>
      <c r="E100" s="9">
        <v>71.540000000000006</v>
      </c>
      <c r="F100" s="109"/>
      <c r="G100" s="1">
        <v>47</v>
      </c>
      <c r="H100" s="4">
        <v>75.83</v>
      </c>
      <c r="I100" s="4">
        <v>75.44</v>
      </c>
      <c r="J100" s="9">
        <v>74.83</v>
      </c>
      <c r="K100" s="109"/>
      <c r="L100" s="1">
        <v>47</v>
      </c>
      <c r="M100" s="4">
        <v>77.930000000000007</v>
      </c>
      <c r="N100" s="4">
        <v>77.3</v>
      </c>
      <c r="O100" s="9">
        <v>77.28</v>
      </c>
    </row>
    <row r="101" spans="1:15" x14ac:dyDescent="0.2">
      <c r="A101" s="109"/>
      <c r="B101" s="1">
        <v>50</v>
      </c>
      <c r="C101" s="4">
        <v>72.86</v>
      </c>
      <c r="D101" s="4">
        <v>72.8</v>
      </c>
      <c r="E101" s="9">
        <v>71.56</v>
      </c>
      <c r="F101" s="109"/>
      <c r="G101" s="1">
        <v>50</v>
      </c>
      <c r="H101" s="4">
        <v>75.150000000000006</v>
      </c>
      <c r="I101" s="4">
        <v>75.66</v>
      </c>
      <c r="J101" s="9">
        <v>74.84</v>
      </c>
      <c r="K101" s="109"/>
      <c r="L101" s="1">
        <v>50</v>
      </c>
      <c r="M101" s="4">
        <v>76.599999999999994</v>
      </c>
      <c r="N101" s="4">
        <v>76.69</v>
      </c>
      <c r="O101" s="9">
        <v>75.64</v>
      </c>
    </row>
    <row r="102" spans="1:15" x14ac:dyDescent="0.2">
      <c r="A102" s="109"/>
      <c r="B102" s="2">
        <v>91</v>
      </c>
      <c r="C102" s="5">
        <v>72.73</v>
      </c>
      <c r="D102" s="5">
        <v>72.59</v>
      </c>
      <c r="E102" s="10">
        <v>70.930000000000007</v>
      </c>
      <c r="F102" s="109"/>
      <c r="G102" s="2">
        <v>91</v>
      </c>
      <c r="H102" s="5">
        <v>75.87</v>
      </c>
      <c r="I102" s="5">
        <v>75.739999999999995</v>
      </c>
      <c r="J102" s="10">
        <v>74.680000000000007</v>
      </c>
      <c r="K102" s="109"/>
      <c r="L102" s="2">
        <v>91</v>
      </c>
      <c r="M102" s="5">
        <v>77.150000000000006</v>
      </c>
      <c r="N102" s="5">
        <v>77.28</v>
      </c>
      <c r="O102" s="10">
        <v>76.540000000000006</v>
      </c>
    </row>
    <row r="103" spans="1:15" x14ac:dyDescent="0.2">
      <c r="A103" s="110"/>
      <c r="B103" s="6" t="s">
        <v>8</v>
      </c>
      <c r="C103" s="7">
        <f>AVERAGE(C98:C102)</f>
        <v>72.914000000000001</v>
      </c>
      <c r="D103" s="7">
        <f t="shared" ref="D103" si="52">AVERAGE(D98:D102)</f>
        <v>72.707999999999998</v>
      </c>
      <c r="E103" s="11">
        <f>AVERAGE(E98:E102)</f>
        <v>71.222000000000008</v>
      </c>
      <c r="F103" s="110"/>
      <c r="G103" s="6" t="s">
        <v>8</v>
      </c>
      <c r="H103" s="7">
        <f>AVERAGE(H98:H102)</f>
        <v>75.781999999999996</v>
      </c>
      <c r="I103" s="7">
        <f t="shared" ref="I103:J103" si="53">AVERAGE(I98:I102)</f>
        <v>75.668000000000006</v>
      </c>
      <c r="J103" s="11">
        <f t="shared" si="53"/>
        <v>74.936000000000007</v>
      </c>
      <c r="K103" s="110"/>
      <c r="L103" s="6" t="s">
        <v>8</v>
      </c>
      <c r="M103" s="7">
        <f>AVERAGE(M98:M102)</f>
        <v>77.313999999999993</v>
      </c>
      <c r="N103" s="7">
        <f t="shared" ref="N103:O103" si="54">AVERAGE(N98:N102)</f>
        <v>77.185999999999993</v>
      </c>
      <c r="O103" s="11">
        <f t="shared" si="54"/>
        <v>76.45</v>
      </c>
    </row>
    <row r="104" spans="1:15" x14ac:dyDescent="0.2">
      <c r="A104" s="109">
        <v>16</v>
      </c>
      <c r="B104" s="1">
        <v>13</v>
      </c>
      <c r="C104" s="4">
        <v>72.89</v>
      </c>
      <c r="D104" s="4">
        <v>72.66</v>
      </c>
      <c r="E104" s="9">
        <v>71.64</v>
      </c>
      <c r="F104" s="109">
        <v>16</v>
      </c>
      <c r="G104" s="1">
        <v>13</v>
      </c>
      <c r="H104" s="4">
        <v>75.28</v>
      </c>
      <c r="I104" s="4">
        <v>75.31</v>
      </c>
      <c r="J104" s="9">
        <v>74.27</v>
      </c>
      <c r="K104" s="109">
        <v>16</v>
      </c>
      <c r="L104" s="1">
        <v>13</v>
      </c>
      <c r="M104" s="4">
        <v>77.56</v>
      </c>
      <c r="N104" s="4">
        <v>77.319999999999993</v>
      </c>
      <c r="O104" s="9">
        <v>77.34</v>
      </c>
    </row>
    <row r="105" spans="1:15" x14ac:dyDescent="0.2">
      <c r="A105" s="109"/>
      <c r="B105" s="1">
        <v>21</v>
      </c>
      <c r="C105" s="4">
        <v>72.89</v>
      </c>
      <c r="D105" s="4">
        <v>72.56</v>
      </c>
      <c r="E105" s="9">
        <v>71.47</v>
      </c>
      <c r="F105" s="109"/>
      <c r="G105" s="1">
        <v>21</v>
      </c>
      <c r="H105" s="4">
        <v>75.180000000000007</v>
      </c>
      <c r="I105" s="4">
        <v>74.900000000000006</v>
      </c>
      <c r="J105" s="9">
        <v>74.36</v>
      </c>
      <c r="K105" s="109"/>
      <c r="L105" s="1">
        <v>21</v>
      </c>
      <c r="M105" s="4">
        <v>77.39</v>
      </c>
      <c r="N105" s="4">
        <v>77.25</v>
      </c>
      <c r="O105" s="9">
        <v>77.28</v>
      </c>
    </row>
    <row r="106" spans="1:15" x14ac:dyDescent="0.2">
      <c r="A106" s="109"/>
      <c r="B106" s="1">
        <v>47</v>
      </c>
      <c r="C106" s="4">
        <v>72.849999999999994</v>
      </c>
      <c r="D106" s="4">
        <v>72.75</v>
      </c>
      <c r="E106" s="9">
        <v>70.739999999999995</v>
      </c>
      <c r="F106" s="109"/>
      <c r="G106" s="1">
        <v>47</v>
      </c>
      <c r="H106" s="4">
        <v>75.28</v>
      </c>
      <c r="I106" s="4">
        <v>75.02</v>
      </c>
      <c r="J106" s="9">
        <v>74.31</v>
      </c>
      <c r="K106" s="109"/>
      <c r="L106" s="1">
        <v>47</v>
      </c>
      <c r="M106" s="4">
        <v>77.58</v>
      </c>
      <c r="N106" s="4">
        <v>77.42</v>
      </c>
      <c r="O106" s="9">
        <v>77.45</v>
      </c>
    </row>
    <row r="107" spans="1:15" x14ac:dyDescent="0.2">
      <c r="A107" s="109"/>
      <c r="B107" s="1">
        <v>50</v>
      </c>
      <c r="C107" s="4">
        <v>73</v>
      </c>
      <c r="D107" s="4">
        <v>72.94</v>
      </c>
      <c r="E107" s="9">
        <v>71.5</v>
      </c>
      <c r="F107" s="109"/>
      <c r="G107" s="1">
        <v>50</v>
      </c>
      <c r="H107" s="4">
        <v>75.66</v>
      </c>
      <c r="I107" s="4">
        <v>75.28</v>
      </c>
      <c r="J107" s="9">
        <v>74.83</v>
      </c>
      <c r="K107" s="109"/>
      <c r="L107" s="1">
        <v>50</v>
      </c>
      <c r="M107" s="4">
        <v>77.56</v>
      </c>
      <c r="N107" s="4">
        <v>77.61</v>
      </c>
      <c r="O107" s="9">
        <v>77.27</v>
      </c>
    </row>
    <row r="108" spans="1:15" x14ac:dyDescent="0.2">
      <c r="A108" s="109"/>
      <c r="B108" s="2">
        <v>91</v>
      </c>
      <c r="C108" s="5">
        <v>72.819999999999993</v>
      </c>
      <c r="D108" s="5">
        <v>72.42</v>
      </c>
      <c r="E108" s="10">
        <v>71.75</v>
      </c>
      <c r="F108" s="109"/>
      <c r="G108" s="2">
        <v>91</v>
      </c>
      <c r="H108" s="5">
        <v>75.150000000000006</v>
      </c>
      <c r="I108" s="5">
        <v>74.66</v>
      </c>
      <c r="J108" s="10">
        <v>74.28</v>
      </c>
      <c r="K108" s="109"/>
      <c r="L108" s="2">
        <v>91</v>
      </c>
      <c r="M108" s="5">
        <v>77.58</v>
      </c>
      <c r="N108" s="5">
        <v>77.5</v>
      </c>
      <c r="O108" s="10">
        <v>77.23</v>
      </c>
    </row>
    <row r="109" spans="1:15" x14ac:dyDescent="0.2">
      <c r="A109" s="110"/>
      <c r="B109" s="6" t="s">
        <v>8</v>
      </c>
      <c r="C109" s="7">
        <f>AVERAGE(C104:C108)</f>
        <v>72.89</v>
      </c>
      <c r="D109" s="7">
        <f t="shared" ref="D109:E109" si="55">AVERAGE(D104:D108)</f>
        <v>72.665999999999997</v>
      </c>
      <c r="E109" s="11">
        <f t="shared" si="55"/>
        <v>71.42</v>
      </c>
      <c r="F109" s="110"/>
      <c r="G109" s="6" t="s">
        <v>8</v>
      </c>
      <c r="H109" s="7">
        <f>AVERAGE(H104:H108)</f>
        <v>75.309999999999988</v>
      </c>
      <c r="I109" s="7">
        <f t="shared" ref="I109:J109" si="56">AVERAGE(I104:I108)</f>
        <v>75.033999999999992</v>
      </c>
      <c r="J109" s="11">
        <f t="shared" si="56"/>
        <v>74.41</v>
      </c>
      <c r="K109" s="110"/>
      <c r="L109" s="6" t="s">
        <v>8</v>
      </c>
      <c r="M109" s="7">
        <f>AVERAGE(M104:M108)</f>
        <v>77.533999999999992</v>
      </c>
      <c r="N109" s="7">
        <f t="shared" ref="N109:O109" si="57">AVERAGE(N104:N108)</f>
        <v>77.42</v>
      </c>
      <c r="O109" s="11">
        <f t="shared" si="57"/>
        <v>77.313999999999993</v>
      </c>
    </row>
    <row r="110" spans="1:15" x14ac:dyDescent="0.2">
      <c r="A110" s="105">
        <v>32</v>
      </c>
      <c r="B110" s="1">
        <v>13</v>
      </c>
      <c r="C110" s="4">
        <v>72.25</v>
      </c>
      <c r="D110" s="4">
        <v>71.92</v>
      </c>
      <c r="E110" s="9">
        <v>71.09</v>
      </c>
      <c r="F110" s="109">
        <v>32</v>
      </c>
      <c r="G110" s="1">
        <v>13</v>
      </c>
      <c r="H110" s="4">
        <v>74.33</v>
      </c>
      <c r="I110" s="4">
        <v>73.989999999999995</v>
      </c>
      <c r="J110" s="9">
        <v>73.569999999999993</v>
      </c>
      <c r="K110" s="109">
        <v>32</v>
      </c>
      <c r="L110" s="1">
        <v>13</v>
      </c>
      <c r="M110" s="4">
        <v>76.739999999999995</v>
      </c>
      <c r="N110" s="4">
        <v>76.53</v>
      </c>
      <c r="O110" s="9">
        <v>77.05</v>
      </c>
    </row>
    <row r="111" spans="1:15" x14ac:dyDescent="0.2">
      <c r="A111" s="105"/>
      <c r="B111" s="1">
        <v>21</v>
      </c>
      <c r="C111" s="4">
        <v>72.209999999999994</v>
      </c>
      <c r="D111" s="4">
        <v>72.09</v>
      </c>
      <c r="E111" s="9">
        <v>70.709999999999994</v>
      </c>
      <c r="F111" s="109"/>
      <c r="G111" s="1">
        <v>21</v>
      </c>
      <c r="H111" s="4">
        <v>74.180000000000007</v>
      </c>
      <c r="I111" s="4">
        <v>73.88</v>
      </c>
      <c r="J111" s="9">
        <v>73.7</v>
      </c>
      <c r="K111" s="109"/>
      <c r="L111" s="1">
        <v>21</v>
      </c>
      <c r="M111" s="4">
        <v>76.19</v>
      </c>
      <c r="N111" s="4">
        <v>76.61</v>
      </c>
      <c r="O111" s="9">
        <v>77.02</v>
      </c>
    </row>
    <row r="112" spans="1:15" x14ac:dyDescent="0.2">
      <c r="A112" s="105"/>
      <c r="B112" s="1">
        <v>47</v>
      </c>
      <c r="C112" s="4">
        <v>72.540000000000006</v>
      </c>
      <c r="D112" s="4">
        <v>72.34</v>
      </c>
      <c r="E112" s="9">
        <v>71.09</v>
      </c>
      <c r="F112" s="109"/>
      <c r="G112" s="1">
        <v>47</v>
      </c>
      <c r="H112" s="4">
        <v>74.09</v>
      </c>
      <c r="I112" s="4">
        <v>73.959999999999994</v>
      </c>
      <c r="J112" s="9">
        <v>73.510000000000005</v>
      </c>
      <c r="K112" s="109"/>
      <c r="L112" s="1">
        <v>47</v>
      </c>
      <c r="M112" s="4">
        <v>76.959999999999994</v>
      </c>
      <c r="N112" s="4">
        <v>76.900000000000006</v>
      </c>
      <c r="O112" s="9">
        <v>76.98</v>
      </c>
    </row>
    <row r="113" spans="1:15" x14ac:dyDescent="0.2">
      <c r="A113" s="105"/>
      <c r="B113" s="1">
        <v>50</v>
      </c>
      <c r="C113" s="4">
        <v>72.11</v>
      </c>
      <c r="D113" s="4">
        <v>71.86</v>
      </c>
      <c r="E113" s="9">
        <v>70.92</v>
      </c>
      <c r="F113" s="109"/>
      <c r="G113" s="1">
        <v>50</v>
      </c>
      <c r="H113" s="4">
        <v>74.31</v>
      </c>
      <c r="I113" s="4">
        <v>73.98</v>
      </c>
      <c r="J113" s="9">
        <v>73.180000000000007</v>
      </c>
      <c r="K113" s="109"/>
      <c r="L113" s="1">
        <v>50</v>
      </c>
      <c r="M113" s="4">
        <v>77.290000000000006</v>
      </c>
      <c r="N113" s="4">
        <v>77.09</v>
      </c>
      <c r="O113" s="9">
        <v>76.83</v>
      </c>
    </row>
    <row r="114" spans="1:15" x14ac:dyDescent="0.2">
      <c r="A114" s="105"/>
      <c r="B114" s="2">
        <v>91</v>
      </c>
      <c r="C114" s="5">
        <v>72.260000000000005</v>
      </c>
      <c r="D114" s="5">
        <v>72.010000000000005</v>
      </c>
      <c r="E114" s="10">
        <v>70.650000000000006</v>
      </c>
      <c r="F114" s="109"/>
      <c r="G114" s="2">
        <v>91</v>
      </c>
      <c r="H114" s="5">
        <v>74.2</v>
      </c>
      <c r="I114" s="5">
        <v>74.02</v>
      </c>
      <c r="J114" s="10">
        <v>73.010000000000005</v>
      </c>
      <c r="K114" s="109"/>
      <c r="L114" s="2">
        <v>91</v>
      </c>
      <c r="M114" s="5">
        <v>76.81</v>
      </c>
      <c r="N114" s="5">
        <v>76.75</v>
      </c>
      <c r="O114" s="10">
        <v>77.08</v>
      </c>
    </row>
    <row r="115" spans="1:15" x14ac:dyDescent="0.2">
      <c r="A115" s="106"/>
      <c r="B115" s="6" t="s">
        <v>8</v>
      </c>
      <c r="C115" s="7">
        <f>AVERAGE(C110:C114)</f>
        <v>72.274000000000001</v>
      </c>
      <c r="D115" s="7">
        <f t="shared" ref="D115:E115" si="58">AVERAGE(D110:D114)</f>
        <v>72.043999999999997</v>
      </c>
      <c r="E115" s="11">
        <f t="shared" si="58"/>
        <v>70.89200000000001</v>
      </c>
      <c r="F115" s="110"/>
      <c r="G115" s="6" t="s">
        <v>8</v>
      </c>
      <c r="H115" s="7">
        <f>AVERAGE(H110:H114)</f>
        <v>74.221999999999994</v>
      </c>
      <c r="I115" s="7">
        <f t="shared" ref="I115:J115" si="59">AVERAGE(I110:I114)</f>
        <v>73.965999999999994</v>
      </c>
      <c r="J115" s="11">
        <f t="shared" si="59"/>
        <v>73.393999999999991</v>
      </c>
      <c r="K115" s="110"/>
      <c r="L115" s="6" t="s">
        <v>8</v>
      </c>
      <c r="M115" s="7">
        <f>AVERAGE(M110:M114)</f>
        <v>76.798000000000002</v>
      </c>
      <c r="N115" s="7">
        <f t="shared" ref="N115:O115" si="60">AVERAGE(N110:N114)</f>
        <v>76.775999999999996</v>
      </c>
      <c r="O115" s="11">
        <f t="shared" si="60"/>
        <v>76.99199999999999</v>
      </c>
    </row>
    <row r="116" spans="1:15" x14ac:dyDescent="0.2">
      <c r="A116" s="105">
        <v>64</v>
      </c>
      <c r="B116" s="1">
        <v>13</v>
      </c>
      <c r="C116" s="4">
        <v>71.849999999999994</v>
      </c>
      <c r="D116" s="4">
        <v>71.680000000000007</v>
      </c>
      <c r="E116" s="9">
        <v>70.38</v>
      </c>
      <c r="F116" s="109">
        <v>64</v>
      </c>
      <c r="G116" s="1">
        <v>13</v>
      </c>
      <c r="H116" s="4">
        <v>73.209999999999994</v>
      </c>
      <c r="I116" s="4">
        <v>73.180000000000007</v>
      </c>
      <c r="J116" s="9">
        <v>72.22</v>
      </c>
      <c r="K116"/>
      <c r="L116"/>
      <c r="M116"/>
      <c r="N116"/>
      <c r="O116"/>
    </row>
    <row r="117" spans="1:15" x14ac:dyDescent="0.2">
      <c r="A117" s="105"/>
      <c r="B117" s="1">
        <v>21</v>
      </c>
      <c r="C117" s="4">
        <v>71.650000000000006</v>
      </c>
      <c r="D117" s="4">
        <v>71.290000000000006</v>
      </c>
      <c r="E117" s="9">
        <v>70.16</v>
      </c>
      <c r="F117" s="109"/>
      <c r="G117" s="1">
        <v>21</v>
      </c>
      <c r="H117" s="4">
        <v>73.239999999999995</v>
      </c>
      <c r="I117" s="4">
        <v>72.95</v>
      </c>
      <c r="J117" s="9">
        <v>72.209999999999994</v>
      </c>
      <c r="K117"/>
      <c r="L117"/>
      <c r="M117"/>
      <c r="N117"/>
      <c r="O117"/>
    </row>
    <row r="118" spans="1:15" x14ac:dyDescent="0.2">
      <c r="A118" s="105"/>
      <c r="B118" s="1">
        <v>47</v>
      </c>
      <c r="C118" s="4">
        <v>71.63</v>
      </c>
      <c r="D118" s="4">
        <v>71.040000000000006</v>
      </c>
      <c r="E118" s="9">
        <v>70.459999999999994</v>
      </c>
      <c r="F118" s="109"/>
      <c r="G118" s="1">
        <v>47</v>
      </c>
      <c r="H118" s="4">
        <v>73.14</v>
      </c>
      <c r="I118" s="4">
        <v>73.180000000000007</v>
      </c>
      <c r="J118" s="9">
        <v>70.819999999999993</v>
      </c>
      <c r="K118"/>
      <c r="L118"/>
      <c r="M118"/>
      <c r="N118"/>
      <c r="O118"/>
    </row>
    <row r="119" spans="1:15" x14ac:dyDescent="0.2">
      <c r="A119" s="105"/>
      <c r="B119" s="1">
        <v>50</v>
      </c>
      <c r="C119" s="4">
        <v>71.7</v>
      </c>
      <c r="D119" s="4">
        <v>71.819999999999993</v>
      </c>
      <c r="E119" s="9">
        <v>69.91</v>
      </c>
      <c r="F119" s="109"/>
      <c r="G119" s="1">
        <v>50</v>
      </c>
      <c r="H119" s="4">
        <v>73.260000000000005</v>
      </c>
      <c r="I119" s="4">
        <v>73.290000000000006</v>
      </c>
      <c r="J119" s="9">
        <v>70.56</v>
      </c>
      <c r="K119"/>
      <c r="L119"/>
      <c r="M119"/>
      <c r="N119"/>
      <c r="O119"/>
    </row>
    <row r="120" spans="1:15" x14ac:dyDescent="0.2">
      <c r="A120" s="105"/>
      <c r="B120" s="2">
        <v>91</v>
      </c>
      <c r="C120" s="5">
        <v>71.86</v>
      </c>
      <c r="D120" s="5">
        <v>71.790000000000006</v>
      </c>
      <c r="E120" s="10">
        <v>69.959999999999994</v>
      </c>
      <c r="F120" s="109"/>
      <c r="G120" s="2">
        <v>91</v>
      </c>
      <c r="H120" s="5">
        <v>73.66</v>
      </c>
      <c r="I120" s="5">
        <v>73.64</v>
      </c>
      <c r="J120" s="10">
        <v>72.42</v>
      </c>
      <c r="K120"/>
      <c r="L120"/>
      <c r="M120"/>
      <c r="N120"/>
      <c r="O120"/>
    </row>
    <row r="121" spans="1:15" x14ac:dyDescent="0.2">
      <c r="A121" s="106"/>
      <c r="B121" s="6" t="s">
        <v>8</v>
      </c>
      <c r="C121" s="7">
        <f>AVERAGE(C116:C120)</f>
        <v>71.738</v>
      </c>
      <c r="D121" s="7">
        <f t="shared" ref="D121:E121" si="61">AVERAGE(D116:D120)</f>
        <v>71.524000000000015</v>
      </c>
      <c r="E121" s="11">
        <f t="shared" si="61"/>
        <v>70.173999999999992</v>
      </c>
      <c r="F121" s="110"/>
      <c r="G121" s="6" t="s">
        <v>8</v>
      </c>
      <c r="H121" s="7">
        <f>AVERAGE(H116:H120)</f>
        <v>73.301999999999992</v>
      </c>
      <c r="I121" s="7">
        <f t="shared" ref="I121:J121" si="62">AVERAGE(I116:I120)</f>
        <v>73.248000000000005</v>
      </c>
      <c r="J121" s="11">
        <f t="shared" si="62"/>
        <v>71.646000000000001</v>
      </c>
      <c r="K121"/>
      <c r="L121"/>
      <c r="M121"/>
      <c r="N121"/>
    </row>
    <row r="124" spans="1:15" x14ac:dyDescent="0.2">
      <c r="A124" s="18" t="s">
        <v>20</v>
      </c>
      <c r="C124" s="1" t="s">
        <v>21</v>
      </c>
    </row>
    <row r="126" spans="1:15" x14ac:dyDescent="0.2">
      <c r="A126" s="108" t="s">
        <v>0</v>
      </c>
      <c r="B126" s="108"/>
      <c r="C126" s="108"/>
      <c r="D126" s="108"/>
      <c r="E126" s="108" t="s">
        <v>1</v>
      </c>
      <c r="F126" s="108"/>
      <c r="G126" s="108"/>
      <c r="H126" s="108"/>
      <c r="I126" s="108" t="s">
        <v>2</v>
      </c>
      <c r="J126" s="108"/>
      <c r="K126" s="108"/>
      <c r="L126" s="111"/>
    </row>
    <row r="127" spans="1:15" x14ac:dyDescent="0.2">
      <c r="A127" s="3" t="s">
        <v>3</v>
      </c>
      <c r="B127" s="3" t="s">
        <v>4</v>
      </c>
      <c r="C127" s="3" t="s">
        <v>6</v>
      </c>
      <c r="D127" s="12" t="s">
        <v>7</v>
      </c>
      <c r="E127" s="3" t="s">
        <v>3</v>
      </c>
      <c r="F127" s="3" t="s">
        <v>4</v>
      </c>
      <c r="G127" s="3" t="s">
        <v>6</v>
      </c>
      <c r="H127" s="12" t="s">
        <v>7</v>
      </c>
      <c r="I127" s="3" t="s">
        <v>3</v>
      </c>
      <c r="J127" s="3" t="s">
        <v>4</v>
      </c>
      <c r="K127" s="3" t="s">
        <v>6</v>
      </c>
      <c r="L127" s="12" t="s">
        <v>7</v>
      </c>
    </row>
    <row r="128" spans="1:15" x14ac:dyDescent="0.2">
      <c r="A128" s="109">
        <v>8</v>
      </c>
      <c r="B128" s="1">
        <v>13</v>
      </c>
      <c r="C128" s="1">
        <v>72.11</v>
      </c>
      <c r="D128" s="8">
        <v>71.430000000000007</v>
      </c>
      <c r="E128" s="109">
        <v>8</v>
      </c>
      <c r="F128" s="1">
        <v>13</v>
      </c>
      <c r="G128" s="1">
        <v>72.959999999999994</v>
      </c>
      <c r="H128" s="4">
        <v>72.599999999999994</v>
      </c>
      <c r="I128" s="109">
        <v>8</v>
      </c>
      <c r="J128" s="1">
        <v>13</v>
      </c>
      <c r="K128" s="1">
        <v>73.98</v>
      </c>
      <c r="L128" s="8">
        <v>74.61</v>
      </c>
    </row>
    <row r="129" spans="1:12" x14ac:dyDescent="0.2">
      <c r="A129" s="109"/>
      <c r="B129" s="1">
        <v>21</v>
      </c>
      <c r="C129" s="4">
        <v>69.900000000000006</v>
      </c>
      <c r="D129" s="9">
        <v>71.55</v>
      </c>
      <c r="E129" s="109"/>
      <c r="F129" s="1">
        <v>21</v>
      </c>
      <c r="G129" s="4">
        <v>72.58</v>
      </c>
      <c r="H129" s="9">
        <v>71.58</v>
      </c>
      <c r="I129" s="109"/>
      <c r="J129" s="1">
        <v>21</v>
      </c>
      <c r="K129" s="4">
        <v>73.39</v>
      </c>
      <c r="L129" s="9">
        <v>72.64</v>
      </c>
    </row>
    <row r="130" spans="1:12" x14ac:dyDescent="0.2">
      <c r="A130" s="109"/>
      <c r="B130" s="1">
        <v>47</v>
      </c>
      <c r="C130" s="4">
        <v>72.13</v>
      </c>
      <c r="D130" s="9">
        <v>70.680000000000007</v>
      </c>
      <c r="E130" s="109"/>
      <c r="F130" s="1">
        <v>47</v>
      </c>
      <c r="G130" s="4">
        <v>72.58</v>
      </c>
      <c r="H130" s="9">
        <v>71.14</v>
      </c>
      <c r="I130" s="109"/>
      <c r="J130" s="1">
        <v>47</v>
      </c>
      <c r="K130" s="4">
        <v>74.28</v>
      </c>
      <c r="L130" s="9">
        <v>75.319999999999993</v>
      </c>
    </row>
    <row r="131" spans="1:12" x14ac:dyDescent="0.2">
      <c r="A131" s="109"/>
      <c r="B131" s="1">
        <v>50</v>
      </c>
      <c r="C131" s="4">
        <v>72.180000000000007</v>
      </c>
      <c r="D131" s="9">
        <v>71.44</v>
      </c>
      <c r="E131" s="109"/>
      <c r="F131" s="1">
        <v>50</v>
      </c>
      <c r="G131" s="4">
        <v>72.56</v>
      </c>
      <c r="H131" s="9">
        <v>74.010000000000005</v>
      </c>
      <c r="I131" s="109"/>
      <c r="J131" s="1">
        <v>50</v>
      </c>
      <c r="K131" s="4">
        <v>73.69</v>
      </c>
      <c r="L131" s="9">
        <v>74.89</v>
      </c>
    </row>
    <row r="132" spans="1:12" x14ac:dyDescent="0.2">
      <c r="A132" s="109"/>
      <c r="B132" s="2">
        <v>91</v>
      </c>
      <c r="C132" s="5">
        <v>72.959999999999994</v>
      </c>
      <c r="D132" s="10">
        <v>70.900000000000006</v>
      </c>
      <c r="E132" s="109"/>
      <c r="F132" s="2">
        <v>91</v>
      </c>
      <c r="G132" s="5">
        <v>72.69</v>
      </c>
      <c r="H132" s="10">
        <v>71.27</v>
      </c>
      <c r="I132" s="109"/>
      <c r="J132" s="2">
        <v>91</v>
      </c>
      <c r="K132" s="5">
        <v>72.08</v>
      </c>
      <c r="L132" s="10">
        <v>73.23</v>
      </c>
    </row>
    <row r="133" spans="1:12" x14ac:dyDescent="0.2">
      <c r="A133" s="110"/>
      <c r="B133" s="6" t="s">
        <v>8</v>
      </c>
      <c r="C133" s="7">
        <f>AVERAGE(C128:C132)</f>
        <v>71.855999999999995</v>
      </c>
      <c r="D133" s="11">
        <f>AVERAGE(D128:D132)</f>
        <v>71.2</v>
      </c>
      <c r="E133" s="110"/>
      <c r="F133" s="6" t="s">
        <v>8</v>
      </c>
      <c r="G133" s="7">
        <f>AVERAGE(G128:G132)</f>
        <v>72.674000000000007</v>
      </c>
      <c r="H133" s="11">
        <f>AVERAGE(H128:H132)</f>
        <v>72.11999999999999</v>
      </c>
      <c r="I133" s="110"/>
      <c r="J133" s="6" t="s">
        <v>8</v>
      </c>
      <c r="K133" s="7">
        <f>AVERAGE(K128:K132)</f>
        <v>73.484000000000009</v>
      </c>
      <c r="L133" s="11">
        <f>AVERAGE(L128:L132)</f>
        <v>74.138000000000005</v>
      </c>
    </row>
    <row r="134" spans="1:12" x14ac:dyDescent="0.2">
      <c r="A134" s="109">
        <v>16</v>
      </c>
      <c r="B134" s="1">
        <v>13</v>
      </c>
      <c r="C134" s="4">
        <v>75.22</v>
      </c>
      <c r="D134" s="9">
        <v>76.09</v>
      </c>
      <c r="E134" s="109">
        <v>16</v>
      </c>
      <c r="F134" s="1">
        <v>13</v>
      </c>
      <c r="G134" s="4">
        <v>76.89</v>
      </c>
      <c r="H134" s="9">
        <v>76.790000000000006</v>
      </c>
      <c r="I134" s="109">
        <v>16</v>
      </c>
      <c r="J134" s="1">
        <v>13</v>
      </c>
      <c r="K134" s="4">
        <v>77.94</v>
      </c>
      <c r="L134" s="9">
        <v>77.7</v>
      </c>
    </row>
    <row r="135" spans="1:12" x14ac:dyDescent="0.2">
      <c r="A135" s="109"/>
      <c r="B135" s="1">
        <v>21</v>
      </c>
      <c r="C135" s="4">
        <v>75.48</v>
      </c>
      <c r="D135" s="9">
        <v>74.91</v>
      </c>
      <c r="E135" s="109"/>
      <c r="F135" s="1">
        <v>21</v>
      </c>
      <c r="G135" s="4">
        <v>76.8</v>
      </c>
      <c r="H135" s="9">
        <v>76.349999999999994</v>
      </c>
      <c r="I135" s="109"/>
      <c r="J135" s="1">
        <v>21</v>
      </c>
      <c r="K135" s="4">
        <v>78.010000000000005</v>
      </c>
      <c r="L135" s="9">
        <v>77.89</v>
      </c>
    </row>
    <row r="136" spans="1:12" x14ac:dyDescent="0.2">
      <c r="A136" s="109"/>
      <c r="B136" s="1">
        <v>47</v>
      </c>
      <c r="C136" s="4">
        <v>75.95</v>
      </c>
      <c r="D136" s="9">
        <v>75.55</v>
      </c>
      <c r="E136" s="109"/>
      <c r="F136" s="1">
        <v>47</v>
      </c>
      <c r="G136" s="4">
        <v>76.45</v>
      </c>
      <c r="H136" s="9">
        <v>75.38</v>
      </c>
      <c r="I136" s="109"/>
      <c r="J136" s="1">
        <v>47</v>
      </c>
      <c r="K136" s="4">
        <v>78.209999999999994</v>
      </c>
      <c r="L136" s="9">
        <v>78.67</v>
      </c>
    </row>
    <row r="137" spans="1:12" x14ac:dyDescent="0.2">
      <c r="A137" s="109"/>
      <c r="B137" s="1">
        <v>50</v>
      </c>
      <c r="C137" s="4">
        <v>75.680000000000007</v>
      </c>
      <c r="D137" s="9">
        <v>75.5</v>
      </c>
      <c r="E137" s="109"/>
      <c r="F137" s="1">
        <v>50</v>
      </c>
      <c r="G137" s="4">
        <v>76.739999999999995</v>
      </c>
      <c r="H137" s="9">
        <v>77.02</v>
      </c>
      <c r="I137" s="109"/>
      <c r="J137" s="1">
        <v>50</v>
      </c>
      <c r="K137" s="4">
        <v>77.98</v>
      </c>
      <c r="L137" s="9">
        <v>78.069999999999993</v>
      </c>
    </row>
    <row r="138" spans="1:12" x14ac:dyDescent="0.2">
      <c r="A138" s="109"/>
      <c r="B138" s="2">
        <v>91</v>
      </c>
      <c r="C138" s="5">
        <v>75.569999999999993</v>
      </c>
      <c r="D138" s="10">
        <v>73.650000000000006</v>
      </c>
      <c r="E138" s="109"/>
      <c r="F138" s="2">
        <v>91</v>
      </c>
      <c r="G138" s="5">
        <v>77.040000000000006</v>
      </c>
      <c r="H138" s="10">
        <v>76.14</v>
      </c>
      <c r="I138" s="109"/>
      <c r="J138" s="2">
        <v>91</v>
      </c>
      <c r="K138" s="5">
        <v>78.03</v>
      </c>
      <c r="L138" s="10">
        <v>78.83</v>
      </c>
    </row>
    <row r="139" spans="1:12" x14ac:dyDescent="0.2">
      <c r="A139" s="110"/>
      <c r="B139" s="6" t="s">
        <v>8</v>
      </c>
      <c r="C139" s="7">
        <f>AVERAGE(C134:C138)</f>
        <v>75.58</v>
      </c>
      <c r="D139" s="11">
        <f t="shared" ref="D139" si="63">AVERAGE(D134:D138)</f>
        <v>75.140000000000015</v>
      </c>
      <c r="E139" s="110"/>
      <c r="F139" s="6" t="s">
        <v>8</v>
      </c>
      <c r="G139" s="7">
        <f>AVERAGE(G134:G138)</f>
        <v>76.784000000000006</v>
      </c>
      <c r="H139" s="11">
        <f t="shared" ref="H139" si="64">AVERAGE(H134:H138)</f>
        <v>76.335999999999984</v>
      </c>
      <c r="I139" s="110"/>
      <c r="J139" s="6" t="s">
        <v>8</v>
      </c>
      <c r="K139" s="7">
        <f>AVERAGE(K134:K138)</f>
        <v>78.033999999999992</v>
      </c>
      <c r="L139" s="11">
        <f t="shared" ref="L139" si="65">AVERAGE(L134:L138)</f>
        <v>78.231999999999999</v>
      </c>
    </row>
    <row r="143" spans="1:12" x14ac:dyDescent="0.2">
      <c r="A143" s="108" t="s">
        <v>15</v>
      </c>
      <c r="B143" s="108"/>
      <c r="C143" s="108"/>
      <c r="D143" s="108"/>
      <c r="E143" s="108" t="s">
        <v>16</v>
      </c>
      <c r="F143" s="108"/>
      <c r="G143" s="108"/>
      <c r="H143" s="108"/>
      <c r="I143" s="108" t="s">
        <v>17</v>
      </c>
      <c r="J143" s="108"/>
      <c r="K143" s="108"/>
      <c r="L143" s="111"/>
    </row>
    <row r="144" spans="1:12" x14ac:dyDescent="0.2">
      <c r="A144" s="3" t="s">
        <v>3</v>
      </c>
      <c r="B144" s="3" t="s">
        <v>4</v>
      </c>
      <c r="C144" s="3" t="s">
        <v>6</v>
      </c>
      <c r="D144" s="12" t="s">
        <v>7</v>
      </c>
      <c r="E144" s="3" t="s">
        <v>3</v>
      </c>
      <c r="F144" s="3" t="s">
        <v>4</v>
      </c>
      <c r="G144" s="3" t="s">
        <v>6</v>
      </c>
      <c r="H144" s="12" t="s">
        <v>7</v>
      </c>
      <c r="I144" s="3" t="s">
        <v>3</v>
      </c>
      <c r="J144" s="3" t="s">
        <v>4</v>
      </c>
      <c r="K144" s="3" t="s">
        <v>6</v>
      </c>
      <c r="L144" s="12" t="s">
        <v>7</v>
      </c>
    </row>
    <row r="145" spans="1:20" x14ac:dyDescent="0.2">
      <c r="A145" s="109">
        <v>8</v>
      </c>
      <c r="B145" s="1">
        <v>13</v>
      </c>
      <c r="C145" s="1">
        <v>72.739999999999995</v>
      </c>
      <c r="D145" s="8">
        <v>70.540000000000006</v>
      </c>
      <c r="E145" s="109">
        <v>8</v>
      </c>
      <c r="F145" s="1">
        <v>13</v>
      </c>
      <c r="G145" s="1">
        <v>76.06</v>
      </c>
      <c r="H145" s="9">
        <v>75.31</v>
      </c>
      <c r="I145" s="109">
        <v>8</v>
      </c>
      <c r="J145" s="1">
        <v>13</v>
      </c>
      <c r="K145" s="1">
        <v>76.78</v>
      </c>
      <c r="L145" s="8">
        <v>76.52</v>
      </c>
    </row>
    <row r="146" spans="1:20" x14ac:dyDescent="0.2">
      <c r="A146" s="109"/>
      <c r="B146" s="1">
        <v>21</v>
      </c>
      <c r="C146" s="4">
        <v>72.81</v>
      </c>
      <c r="D146" s="9">
        <v>71.92</v>
      </c>
      <c r="E146" s="109"/>
      <c r="F146" s="1">
        <v>21</v>
      </c>
      <c r="G146" s="4">
        <v>76.040000000000006</v>
      </c>
      <c r="H146" s="9">
        <v>75.31</v>
      </c>
      <c r="I146" s="109"/>
      <c r="J146" s="1">
        <v>21</v>
      </c>
      <c r="K146" s="4">
        <v>77.19</v>
      </c>
      <c r="L146" s="9">
        <v>76.42</v>
      </c>
    </row>
    <row r="147" spans="1:20" x14ac:dyDescent="0.2">
      <c r="A147" s="109"/>
      <c r="B147" s="1">
        <v>47</v>
      </c>
      <c r="C147" s="4">
        <v>73.06</v>
      </c>
      <c r="D147" s="9">
        <v>71.97</v>
      </c>
      <c r="E147" s="109"/>
      <c r="F147" s="1">
        <v>47</v>
      </c>
      <c r="G147" s="4">
        <v>75.760000000000005</v>
      </c>
      <c r="H147" s="9">
        <v>74.27</v>
      </c>
      <c r="I147" s="109"/>
      <c r="J147" s="1">
        <v>47</v>
      </c>
      <c r="K147" s="4">
        <v>77.31</v>
      </c>
      <c r="L147" s="9">
        <v>76.760000000000005</v>
      </c>
    </row>
    <row r="148" spans="1:20" x14ac:dyDescent="0.2">
      <c r="A148" s="109"/>
      <c r="B148" s="1">
        <v>50</v>
      </c>
      <c r="C148" s="4">
        <v>72.790000000000006</v>
      </c>
      <c r="D148" s="9">
        <v>71.69</v>
      </c>
      <c r="E148" s="109"/>
      <c r="F148" s="1">
        <v>50</v>
      </c>
      <c r="G148" s="4">
        <v>75.900000000000006</v>
      </c>
      <c r="H148" s="9">
        <v>75.239999999999995</v>
      </c>
      <c r="I148" s="109"/>
      <c r="J148" s="1">
        <v>50</v>
      </c>
      <c r="K148" s="4">
        <v>76.69</v>
      </c>
      <c r="L148" s="9">
        <v>75.67</v>
      </c>
    </row>
    <row r="149" spans="1:20" x14ac:dyDescent="0.2">
      <c r="A149" s="109"/>
      <c r="B149" s="2">
        <v>91</v>
      </c>
      <c r="C149" s="5">
        <v>72.489999999999995</v>
      </c>
      <c r="D149" s="10">
        <v>70.7</v>
      </c>
      <c r="E149" s="109"/>
      <c r="F149" s="2">
        <v>91</v>
      </c>
      <c r="G149" s="5">
        <v>76.010000000000005</v>
      </c>
      <c r="H149" s="10">
        <v>75.510000000000005</v>
      </c>
      <c r="I149" s="109"/>
      <c r="J149" s="2">
        <v>91</v>
      </c>
      <c r="K149" s="5">
        <v>75.81</v>
      </c>
      <c r="L149" s="10">
        <v>75.739999999999995</v>
      </c>
    </row>
    <row r="150" spans="1:20" x14ac:dyDescent="0.2">
      <c r="A150" s="110"/>
      <c r="B150" s="6" t="s">
        <v>8</v>
      </c>
      <c r="C150" s="7">
        <f>AVERAGE(C145:C149)</f>
        <v>72.778000000000006</v>
      </c>
      <c r="D150" s="11">
        <f>AVERAGE(D145:D149)</f>
        <v>71.364000000000004</v>
      </c>
      <c r="E150" s="110"/>
      <c r="F150" s="6" t="s">
        <v>8</v>
      </c>
      <c r="G150" s="7">
        <f>AVERAGE(G145:G149)</f>
        <v>75.953999999999994</v>
      </c>
      <c r="H150" s="11">
        <f>AVERAGE(H145:H149)</f>
        <v>75.128</v>
      </c>
      <c r="I150" s="110"/>
      <c r="J150" s="6" t="s">
        <v>8</v>
      </c>
      <c r="K150" s="7">
        <f>AVERAGE(K145:K149)</f>
        <v>76.756</v>
      </c>
      <c r="L150" s="11">
        <f>AVERAGE(L145:L149)</f>
        <v>76.222000000000008</v>
      </c>
    </row>
    <row r="151" spans="1:20" x14ac:dyDescent="0.2">
      <c r="A151" s="109">
        <v>16</v>
      </c>
      <c r="B151" s="1">
        <v>13</v>
      </c>
      <c r="C151" s="4">
        <v>73.099999999999994</v>
      </c>
      <c r="D151" s="9">
        <v>70.540000000000006</v>
      </c>
      <c r="E151" s="109">
        <v>16</v>
      </c>
      <c r="F151" s="1">
        <v>13</v>
      </c>
      <c r="G151" s="4">
        <v>75.34</v>
      </c>
      <c r="H151" s="9">
        <v>74.150000000000006</v>
      </c>
      <c r="I151" s="109">
        <v>16</v>
      </c>
      <c r="J151" s="1">
        <v>13</v>
      </c>
      <c r="K151" s="4">
        <v>77.39</v>
      </c>
      <c r="L151" s="9">
        <v>76.42</v>
      </c>
    </row>
    <row r="152" spans="1:20" x14ac:dyDescent="0.2">
      <c r="A152" s="109"/>
      <c r="B152" s="1">
        <v>21</v>
      </c>
      <c r="C152" s="4">
        <v>72.989999999999995</v>
      </c>
      <c r="D152" s="9">
        <v>71.010000000000005</v>
      </c>
      <c r="E152" s="109"/>
      <c r="F152" s="1">
        <v>21</v>
      </c>
      <c r="G152" s="4">
        <v>75.2</v>
      </c>
      <c r="H152" s="9">
        <v>74.150000000000006</v>
      </c>
      <c r="I152" s="109"/>
      <c r="J152" s="1">
        <v>21</v>
      </c>
      <c r="K152" s="4">
        <v>77.510000000000005</v>
      </c>
      <c r="L152" s="9">
        <v>76.77</v>
      </c>
    </row>
    <row r="153" spans="1:20" x14ac:dyDescent="0.2">
      <c r="A153" s="109"/>
      <c r="B153" s="1">
        <v>47</v>
      </c>
      <c r="C153" s="4">
        <v>73.08</v>
      </c>
      <c r="D153" s="9">
        <v>71.44</v>
      </c>
      <c r="E153" s="109"/>
      <c r="F153" s="1">
        <v>47</v>
      </c>
      <c r="G153" s="4">
        <v>76.209999999999994</v>
      </c>
      <c r="H153" s="9">
        <v>74.930000000000007</v>
      </c>
      <c r="I153" s="109"/>
      <c r="J153" s="1">
        <v>47</v>
      </c>
      <c r="K153" s="4">
        <v>77.42</v>
      </c>
      <c r="L153" s="9">
        <v>76.94</v>
      </c>
    </row>
    <row r="154" spans="1:20" x14ac:dyDescent="0.2">
      <c r="A154" s="109"/>
      <c r="B154" s="1">
        <v>50</v>
      </c>
      <c r="C154" s="4">
        <v>73</v>
      </c>
      <c r="D154" s="9">
        <v>71.849999999999994</v>
      </c>
      <c r="E154" s="109"/>
      <c r="F154" s="1">
        <v>50</v>
      </c>
      <c r="G154" s="4">
        <v>75.48</v>
      </c>
      <c r="H154" s="9">
        <v>73.88</v>
      </c>
      <c r="I154" s="109"/>
      <c r="J154" s="1">
        <v>50</v>
      </c>
      <c r="K154" s="4">
        <v>77.510000000000005</v>
      </c>
      <c r="L154" s="9">
        <v>76.64</v>
      </c>
    </row>
    <row r="155" spans="1:20" x14ac:dyDescent="0.2">
      <c r="A155" s="109"/>
      <c r="B155" s="2">
        <v>91</v>
      </c>
      <c r="C155" s="5">
        <v>72.959999999999994</v>
      </c>
      <c r="D155" s="10">
        <v>71.349999999999994</v>
      </c>
      <c r="E155" s="109"/>
      <c r="F155" s="2">
        <v>91</v>
      </c>
      <c r="G155" s="5">
        <v>75.44</v>
      </c>
      <c r="H155" s="10">
        <v>74.03</v>
      </c>
      <c r="I155" s="109"/>
      <c r="J155" s="2">
        <v>91</v>
      </c>
      <c r="K155" s="5">
        <v>77.239999999999995</v>
      </c>
      <c r="L155" s="10">
        <v>76.34</v>
      </c>
    </row>
    <row r="156" spans="1:20" x14ac:dyDescent="0.2">
      <c r="A156" s="110"/>
      <c r="B156" s="6" t="s">
        <v>8</v>
      </c>
      <c r="C156" s="7">
        <f>AVERAGE(C151:C155)</f>
        <v>73.025999999999982</v>
      </c>
      <c r="D156" s="11">
        <f t="shared" ref="D156" si="66">AVERAGE(D151:D155)</f>
        <v>71.238000000000014</v>
      </c>
      <c r="E156" s="110"/>
      <c r="F156" s="6" t="s">
        <v>8</v>
      </c>
      <c r="G156" s="7">
        <f>AVERAGE(G151:G155)</f>
        <v>75.534000000000006</v>
      </c>
      <c r="H156" s="11">
        <f t="shared" ref="H156" si="67">AVERAGE(H151:H155)</f>
        <v>74.227999999999994</v>
      </c>
      <c r="I156" s="110"/>
      <c r="J156" s="6" t="s">
        <v>8</v>
      </c>
      <c r="K156" s="7">
        <f>AVERAGE(K151:K155)</f>
        <v>77.414000000000001</v>
      </c>
      <c r="L156" s="11">
        <f t="shared" ref="L156" si="68">AVERAGE(L151:L155)</f>
        <v>76.622</v>
      </c>
    </row>
    <row r="158" spans="1:20" x14ac:dyDescent="0.2">
      <c r="A158" s="24" t="s">
        <v>22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60" spans="1:20" x14ac:dyDescent="0.2">
      <c r="A160" s="120" t="s">
        <v>23</v>
      </c>
      <c r="B160" s="107" t="s">
        <v>0</v>
      </c>
      <c r="C160" s="108"/>
      <c r="D160" s="108"/>
      <c r="E160" s="108"/>
      <c r="F160" s="108"/>
      <c r="G160" s="111"/>
      <c r="H160" s="107" t="s">
        <v>1</v>
      </c>
      <c r="I160" s="108"/>
      <c r="J160" s="108"/>
      <c r="K160" s="108"/>
      <c r="L160" s="108"/>
      <c r="M160" s="111"/>
      <c r="N160" s="107" t="s">
        <v>2</v>
      </c>
      <c r="O160" s="108"/>
      <c r="P160" s="108"/>
      <c r="Q160" s="108"/>
      <c r="R160" s="108"/>
      <c r="S160" s="111"/>
    </row>
    <row r="161" spans="1:19" x14ac:dyDescent="0.2">
      <c r="A161" s="121"/>
      <c r="B161" s="19" t="s">
        <v>3</v>
      </c>
      <c r="C161" s="1" t="s">
        <v>4</v>
      </c>
      <c r="D161" s="1" t="s">
        <v>6</v>
      </c>
      <c r="E161" s="2" t="s">
        <v>7</v>
      </c>
      <c r="F161" s="1" t="s">
        <v>24</v>
      </c>
      <c r="G161" s="8" t="s">
        <v>25</v>
      </c>
      <c r="H161" s="19" t="s">
        <v>3</v>
      </c>
      <c r="I161" s="1" t="s">
        <v>4</v>
      </c>
      <c r="J161" s="1" t="s">
        <v>6</v>
      </c>
      <c r="K161" s="2" t="s">
        <v>7</v>
      </c>
      <c r="L161" s="1" t="s">
        <v>24</v>
      </c>
      <c r="M161" s="8" t="s">
        <v>25</v>
      </c>
      <c r="N161" s="19" t="s">
        <v>3</v>
      </c>
      <c r="O161" s="1" t="s">
        <v>4</v>
      </c>
      <c r="P161" s="1" t="s">
        <v>6</v>
      </c>
      <c r="Q161" s="2" t="s">
        <v>7</v>
      </c>
      <c r="R161" s="1" t="s">
        <v>24</v>
      </c>
      <c r="S161" s="8" t="s">
        <v>25</v>
      </c>
    </row>
    <row r="162" spans="1:19" x14ac:dyDescent="0.2">
      <c r="A162" s="122">
        <v>1</v>
      </c>
      <c r="B162" s="104">
        <v>8</v>
      </c>
      <c r="C162" s="28">
        <v>13</v>
      </c>
      <c r="D162" s="25">
        <v>72.11</v>
      </c>
      <c r="E162" s="1">
        <v>71.430000000000007</v>
      </c>
      <c r="F162" s="25">
        <v>1375</v>
      </c>
      <c r="G162" s="36">
        <v>0.49</v>
      </c>
      <c r="H162" s="104">
        <v>8</v>
      </c>
      <c r="I162" s="28">
        <v>13</v>
      </c>
      <c r="J162" s="25">
        <v>72.959999999999994</v>
      </c>
      <c r="K162" s="4">
        <v>72.599999999999994</v>
      </c>
      <c r="L162" s="25">
        <v>1279</v>
      </c>
      <c r="M162" s="31">
        <v>0.501</v>
      </c>
      <c r="N162" s="104">
        <v>8</v>
      </c>
      <c r="O162" s="28">
        <v>13</v>
      </c>
      <c r="P162" s="25">
        <v>73.989999999999995</v>
      </c>
      <c r="Q162" s="1">
        <v>74.62</v>
      </c>
      <c r="R162" s="25">
        <v>1037</v>
      </c>
      <c r="S162" s="31">
        <v>0.53900000000000003</v>
      </c>
    </row>
    <row r="163" spans="1:19" x14ac:dyDescent="0.2">
      <c r="A163" s="123"/>
      <c r="B163" s="105"/>
      <c r="C163" s="29">
        <v>21</v>
      </c>
      <c r="D163" s="4">
        <v>69.900000000000006</v>
      </c>
      <c r="E163" s="4">
        <v>71.55</v>
      </c>
      <c r="F163" s="1">
        <v>1076</v>
      </c>
      <c r="G163" s="8">
        <v>0.57199999999999995</v>
      </c>
      <c r="H163" s="105"/>
      <c r="I163" s="29">
        <v>21</v>
      </c>
      <c r="J163" s="4">
        <v>72.58</v>
      </c>
      <c r="K163" s="4">
        <v>71.58</v>
      </c>
      <c r="L163" s="1">
        <v>1408</v>
      </c>
      <c r="M163" s="8">
        <v>0.47899999999999998</v>
      </c>
      <c r="N163" s="105"/>
      <c r="O163" s="29">
        <v>21</v>
      </c>
      <c r="P163" s="4">
        <v>73.400000000000006</v>
      </c>
      <c r="Q163" s="4">
        <v>72.66</v>
      </c>
      <c r="R163" s="1">
        <v>1327</v>
      </c>
      <c r="S163" s="8">
        <v>0.48699999999999999</v>
      </c>
    </row>
    <row r="164" spans="1:19" x14ac:dyDescent="0.2">
      <c r="A164" s="123"/>
      <c r="B164" s="105"/>
      <c r="C164" s="29">
        <v>47</v>
      </c>
      <c r="D164" s="4">
        <v>72.14</v>
      </c>
      <c r="E164" s="4">
        <v>70.69</v>
      </c>
      <c r="F164" s="1">
        <v>1501</v>
      </c>
      <c r="G164" s="8">
        <v>0.46500000000000002</v>
      </c>
      <c r="H164" s="105"/>
      <c r="I164" s="29">
        <v>47</v>
      </c>
      <c r="J164" s="4">
        <v>72.58</v>
      </c>
      <c r="K164" s="4">
        <v>71.150000000000006</v>
      </c>
      <c r="L164" s="1">
        <v>1480</v>
      </c>
      <c r="M164" s="8">
        <v>0.46400000000000002</v>
      </c>
      <c r="N164" s="105"/>
      <c r="O164" s="29">
        <v>47</v>
      </c>
      <c r="P164" s="4">
        <v>74.27</v>
      </c>
      <c r="Q164" s="4">
        <v>75.31</v>
      </c>
      <c r="R164" s="1">
        <v>937</v>
      </c>
      <c r="S164" s="8">
        <v>0.55600000000000005</v>
      </c>
    </row>
    <row r="165" spans="1:19" x14ac:dyDescent="0.2">
      <c r="A165" s="123"/>
      <c r="B165" s="105"/>
      <c r="C165" s="29">
        <v>50</v>
      </c>
      <c r="D165" s="4">
        <v>72.180000000000007</v>
      </c>
      <c r="E165" s="4">
        <v>71.44</v>
      </c>
      <c r="F165" s="1">
        <v>1381</v>
      </c>
      <c r="G165" s="8">
        <v>0.48799999999999999</v>
      </c>
      <c r="H165" s="105"/>
      <c r="I165" s="29">
        <v>50</v>
      </c>
      <c r="J165" s="4">
        <v>72.56</v>
      </c>
      <c r="K165" s="4">
        <v>74.010000000000005</v>
      </c>
      <c r="L165" s="1">
        <v>954</v>
      </c>
      <c r="M165" s="33">
        <v>0.56999999999999995</v>
      </c>
      <c r="N165" s="105"/>
      <c r="O165" s="29">
        <v>50</v>
      </c>
      <c r="P165" s="4">
        <v>73.69</v>
      </c>
      <c r="Q165" s="4">
        <v>74.89</v>
      </c>
      <c r="R165" s="1">
        <v>937</v>
      </c>
      <c r="S165" s="8">
        <v>0.56200000000000006</v>
      </c>
    </row>
    <row r="166" spans="1:19" x14ac:dyDescent="0.2">
      <c r="A166" s="123"/>
      <c r="B166" s="105"/>
      <c r="C166" s="30">
        <v>91</v>
      </c>
      <c r="D166" s="27">
        <v>72.05</v>
      </c>
      <c r="E166" s="27">
        <v>70.89</v>
      </c>
      <c r="F166" s="26">
        <v>1458</v>
      </c>
      <c r="G166" s="32">
        <v>0.47399999999999998</v>
      </c>
      <c r="H166" s="105"/>
      <c r="I166" s="30">
        <v>91</v>
      </c>
      <c r="J166" s="27">
        <v>72.69</v>
      </c>
      <c r="K166" s="27">
        <v>71.260000000000005</v>
      </c>
      <c r="L166" s="26">
        <v>1475</v>
      </c>
      <c r="M166" s="32">
        <v>0.46400000000000002</v>
      </c>
      <c r="N166" s="105"/>
      <c r="O166" s="30">
        <v>91</v>
      </c>
      <c r="P166" s="27">
        <v>72.08</v>
      </c>
      <c r="Q166" s="27">
        <v>73.319999999999993</v>
      </c>
      <c r="R166" s="26">
        <v>1024</v>
      </c>
      <c r="S166" s="32">
        <v>0.56100000000000005</v>
      </c>
    </row>
    <row r="167" spans="1:19" x14ac:dyDescent="0.2">
      <c r="A167" s="121"/>
      <c r="B167" s="105"/>
      <c r="C167" s="6" t="s">
        <v>8</v>
      </c>
      <c r="D167" s="7">
        <f>AVERAGE(D162:D166)</f>
        <v>71.676000000000002</v>
      </c>
      <c r="E167" s="7">
        <f>AVERAGE(E162:E166)</f>
        <v>71.2</v>
      </c>
      <c r="F167" s="35">
        <f>AVERAGE(F162:F166)</f>
        <v>1358.2</v>
      </c>
      <c r="G167" s="34">
        <f>AVERAGE(G162:G166)</f>
        <v>0.49779999999999996</v>
      </c>
      <c r="H167" s="105"/>
      <c r="I167" s="6" t="s">
        <v>8</v>
      </c>
      <c r="J167" s="7">
        <f>AVERAGE(J162:J166)</f>
        <v>72.674000000000007</v>
      </c>
      <c r="K167" s="7">
        <f>AVERAGE(K162:K166)</f>
        <v>72.12</v>
      </c>
      <c r="L167" s="35">
        <f>AVERAGE(L162:L166)</f>
        <v>1319.2</v>
      </c>
      <c r="M167" s="34">
        <f>AVERAGE(M162:M166)</f>
        <v>0.49559999999999993</v>
      </c>
      <c r="N167" s="105"/>
      <c r="O167" s="6" t="s">
        <v>8</v>
      </c>
      <c r="P167" s="7">
        <f>AVERAGE(P162:P166)</f>
        <v>73.48599999999999</v>
      </c>
      <c r="Q167" s="7">
        <f>AVERAGE(Q162:Q166)</f>
        <v>74.16</v>
      </c>
      <c r="R167" s="35">
        <f>AVERAGE(R162:R166)</f>
        <v>1052.4000000000001</v>
      </c>
      <c r="S167" s="34">
        <f>AVERAGE(S162:S166)</f>
        <v>0.54100000000000004</v>
      </c>
    </row>
    <row r="168" spans="1:19" x14ac:dyDescent="0.2">
      <c r="A168" s="119">
        <v>1.2</v>
      </c>
      <c r="B168" s="105"/>
      <c r="C168" s="28">
        <v>13</v>
      </c>
      <c r="D168" s="25">
        <v>71.84</v>
      </c>
      <c r="E168" s="25">
        <v>71.459999999999994</v>
      </c>
      <c r="F168" s="25">
        <v>1335</v>
      </c>
      <c r="G168" s="31">
        <v>0.501</v>
      </c>
      <c r="H168" s="105"/>
      <c r="I168" s="28">
        <v>13</v>
      </c>
      <c r="J168" s="25">
        <v>72.290000000000006</v>
      </c>
      <c r="K168" s="25">
        <v>70.27</v>
      </c>
      <c r="L168" s="25">
        <v>1586</v>
      </c>
      <c r="M168" s="31">
        <v>0.44600000000000001</v>
      </c>
      <c r="N168" s="105"/>
      <c r="O168" s="28">
        <v>13</v>
      </c>
      <c r="P168" s="25">
        <v>74.88</v>
      </c>
      <c r="Q168" s="25">
        <v>76.39</v>
      </c>
      <c r="R168" s="25">
        <v>797</v>
      </c>
      <c r="S168" s="31">
        <v>0.57799999999999996</v>
      </c>
    </row>
    <row r="169" spans="1:19" x14ac:dyDescent="0.2">
      <c r="A169" s="109"/>
      <c r="B169" s="105"/>
      <c r="C169" s="29">
        <v>21</v>
      </c>
      <c r="D169" s="4">
        <v>70.22</v>
      </c>
      <c r="E169" s="4">
        <v>71.25</v>
      </c>
      <c r="F169" s="1">
        <v>1170</v>
      </c>
      <c r="G169" s="33">
        <v>0.55000000000000004</v>
      </c>
      <c r="H169" s="105"/>
      <c r="I169" s="29">
        <v>21</v>
      </c>
      <c r="J169" s="4">
        <v>72.62</v>
      </c>
      <c r="K169" s="4">
        <v>72.709999999999994</v>
      </c>
      <c r="L169" s="1">
        <v>1213</v>
      </c>
      <c r="M169" s="8">
        <v>0.51700000000000002</v>
      </c>
      <c r="N169" s="105"/>
      <c r="O169" s="29">
        <v>21</v>
      </c>
      <c r="P169" s="4">
        <v>72.650000000000006</v>
      </c>
      <c r="Q169" s="4">
        <v>74.64</v>
      </c>
      <c r="R169" s="1">
        <v>837</v>
      </c>
      <c r="S169" s="8">
        <v>0.59199999999999997</v>
      </c>
    </row>
    <row r="170" spans="1:19" x14ac:dyDescent="0.2">
      <c r="A170" s="109"/>
      <c r="B170" s="105"/>
      <c r="C170" s="29">
        <v>47</v>
      </c>
      <c r="D170" s="4">
        <v>71.67</v>
      </c>
      <c r="E170" s="4">
        <v>72.34</v>
      </c>
      <c r="F170" s="1">
        <v>1156</v>
      </c>
      <c r="G170" s="8">
        <v>0.53800000000000003</v>
      </c>
      <c r="H170" s="105"/>
      <c r="I170" s="29">
        <v>47</v>
      </c>
      <c r="J170" s="4">
        <v>73.739999999999995</v>
      </c>
      <c r="K170" s="4">
        <v>74.34</v>
      </c>
      <c r="L170" s="1">
        <v>1058</v>
      </c>
      <c r="M170" s="8">
        <v>0.53700000000000003</v>
      </c>
      <c r="N170" s="105"/>
      <c r="O170" s="29">
        <v>47</v>
      </c>
      <c r="P170" s="4">
        <v>72.63</v>
      </c>
      <c r="Q170" s="4">
        <v>73.13</v>
      </c>
      <c r="R170" s="1">
        <v>1137</v>
      </c>
      <c r="S170" s="8">
        <v>0.53200000000000003</v>
      </c>
    </row>
    <row r="171" spans="1:19" x14ac:dyDescent="0.2">
      <c r="A171" s="109"/>
      <c r="B171" s="105"/>
      <c r="C171" s="29">
        <v>50</v>
      </c>
      <c r="D171" s="4">
        <v>70.52</v>
      </c>
      <c r="E171" s="4">
        <v>73.09</v>
      </c>
      <c r="F171" s="1">
        <v>858</v>
      </c>
      <c r="G171" s="8">
        <v>0.60899999999999999</v>
      </c>
      <c r="H171" s="105"/>
      <c r="I171" s="29">
        <v>50</v>
      </c>
      <c r="J171" s="4">
        <v>71.86</v>
      </c>
      <c r="K171" s="4">
        <v>71.17</v>
      </c>
      <c r="L171" s="1">
        <v>1387</v>
      </c>
      <c r="M171" s="33">
        <v>0.49</v>
      </c>
      <c r="N171" s="105"/>
      <c r="O171" s="29">
        <v>50</v>
      </c>
      <c r="P171" s="4">
        <v>77.06</v>
      </c>
      <c r="Q171" s="4">
        <v>77.69</v>
      </c>
      <c r="R171" s="1">
        <v>867</v>
      </c>
      <c r="S171" s="8">
        <v>0.54200000000000004</v>
      </c>
    </row>
    <row r="172" spans="1:19" x14ac:dyDescent="0.2">
      <c r="A172" s="109"/>
      <c r="B172" s="105"/>
      <c r="C172" s="30">
        <v>91</v>
      </c>
      <c r="D172" s="27">
        <v>71.77</v>
      </c>
      <c r="E172" s="27">
        <v>72.12</v>
      </c>
      <c r="F172" s="26">
        <v>1209</v>
      </c>
      <c r="G172" s="32">
        <v>0.52700000000000002</v>
      </c>
      <c r="H172" s="105"/>
      <c r="I172" s="30">
        <v>91</v>
      </c>
      <c r="J172" s="27">
        <v>72.709999999999994</v>
      </c>
      <c r="K172" s="27">
        <v>72.459999999999994</v>
      </c>
      <c r="L172" s="26">
        <v>1271</v>
      </c>
      <c r="M172" s="32">
        <v>0.505</v>
      </c>
      <c r="N172" s="105"/>
      <c r="O172" s="30">
        <v>91</v>
      </c>
      <c r="P172" s="27">
        <v>75.05</v>
      </c>
      <c r="Q172" s="27">
        <v>76.42</v>
      </c>
      <c r="R172" s="26">
        <v>818</v>
      </c>
      <c r="S172" s="32">
        <v>0.57199999999999995</v>
      </c>
    </row>
    <row r="173" spans="1:19" x14ac:dyDescent="0.2">
      <c r="A173" s="110"/>
      <c r="B173" s="105"/>
      <c r="C173" s="6" t="s">
        <v>8</v>
      </c>
      <c r="D173" s="7">
        <f>AVERAGE(D168:D172)</f>
        <v>71.203999999999994</v>
      </c>
      <c r="E173" s="7">
        <f>AVERAGE(E168:E172)</f>
        <v>72.051999999999992</v>
      </c>
      <c r="F173" s="35">
        <f>AVERAGE(F168:F172)</f>
        <v>1145.5999999999999</v>
      </c>
      <c r="G173" s="34">
        <f>AVERAGE(G168:G172)</f>
        <v>0.54500000000000015</v>
      </c>
      <c r="H173" s="105"/>
      <c r="I173" s="6" t="s">
        <v>8</v>
      </c>
      <c r="J173" s="7">
        <f>AVERAGE(J168:J172)</f>
        <v>72.644000000000005</v>
      </c>
      <c r="K173" s="7">
        <f>AVERAGE(K168:K172)</f>
        <v>72.19</v>
      </c>
      <c r="L173" s="35">
        <f>AVERAGE(L168:L172)</f>
        <v>1303</v>
      </c>
      <c r="M173" s="34">
        <f>AVERAGE(M168:M172)</f>
        <v>0.499</v>
      </c>
      <c r="N173" s="105"/>
      <c r="O173" s="6" t="s">
        <v>8</v>
      </c>
      <c r="P173" s="7">
        <f>AVERAGE(P168:P172)</f>
        <v>74.454000000000008</v>
      </c>
      <c r="Q173" s="7">
        <f>AVERAGE(Q168:Q172)</f>
        <v>75.654000000000011</v>
      </c>
      <c r="R173" s="35">
        <f>AVERAGE(R168:R172)</f>
        <v>891.2</v>
      </c>
      <c r="S173" s="34">
        <f>AVERAGE(S168:S172)</f>
        <v>0.56319999999999992</v>
      </c>
    </row>
    <row r="174" spans="1:19" x14ac:dyDescent="0.2">
      <c r="A174" s="119">
        <v>1.4</v>
      </c>
      <c r="B174" s="105"/>
      <c r="C174" s="28">
        <v>13</v>
      </c>
      <c r="D174" s="25">
        <v>68.52</v>
      </c>
      <c r="E174" s="25">
        <v>74.02</v>
      </c>
      <c r="F174" s="25">
        <v>377</v>
      </c>
      <c r="G174" s="31">
        <v>0.72599999999999998</v>
      </c>
      <c r="H174" s="105"/>
      <c r="I174" s="28">
        <v>13</v>
      </c>
      <c r="J174" s="25">
        <v>72.66</v>
      </c>
      <c r="K174" s="25">
        <v>72.819999999999993</v>
      </c>
      <c r="L174" s="25">
        <v>1198</v>
      </c>
      <c r="M174" s="36">
        <v>0.52</v>
      </c>
      <c r="N174" s="105"/>
      <c r="O174" s="28">
        <v>13</v>
      </c>
      <c r="P174" s="51">
        <v>73.900000000000006</v>
      </c>
      <c r="Q174" s="25">
        <v>76.14</v>
      </c>
      <c r="R174" s="25">
        <v>697</v>
      </c>
      <c r="S174" s="31">
        <v>0.60799999999999998</v>
      </c>
    </row>
    <row r="175" spans="1:19" x14ac:dyDescent="0.2">
      <c r="A175" s="109"/>
      <c r="B175" s="105"/>
      <c r="C175" s="29">
        <v>21</v>
      </c>
      <c r="D175" s="4">
        <v>67.680000000000007</v>
      </c>
      <c r="E175" s="4">
        <v>73.19</v>
      </c>
      <c r="F175" s="1">
        <v>449</v>
      </c>
      <c r="G175" s="33">
        <v>0.72</v>
      </c>
      <c r="H175" s="105"/>
      <c r="I175" s="29">
        <v>21</v>
      </c>
      <c r="J175" s="4">
        <v>71.34</v>
      </c>
      <c r="K175" s="4">
        <v>73.010000000000005</v>
      </c>
      <c r="L175" s="1">
        <v>984</v>
      </c>
      <c r="M175" s="8">
        <v>0.57599999999999996</v>
      </c>
      <c r="N175" s="105"/>
      <c r="O175" s="29">
        <v>21</v>
      </c>
      <c r="P175" s="4">
        <v>76.569999999999993</v>
      </c>
      <c r="Q175" s="4">
        <v>77.790000000000006</v>
      </c>
      <c r="R175" s="1">
        <v>758</v>
      </c>
      <c r="S175" s="8">
        <v>0.56899999999999995</v>
      </c>
    </row>
    <row r="176" spans="1:19" x14ac:dyDescent="0.2">
      <c r="A176" s="109"/>
      <c r="B176" s="105"/>
      <c r="C176" s="29">
        <v>47</v>
      </c>
      <c r="D176" s="4">
        <v>69.569999999999993</v>
      </c>
      <c r="E176" s="4">
        <v>73.849999999999994</v>
      </c>
      <c r="F176" s="1">
        <v>565</v>
      </c>
      <c r="G176" s="8">
        <v>0.67700000000000005</v>
      </c>
      <c r="H176" s="105"/>
      <c r="I176" s="29">
        <v>47</v>
      </c>
      <c r="J176" s="4">
        <v>71.84</v>
      </c>
      <c r="K176" s="4">
        <v>74.87</v>
      </c>
      <c r="L176" s="1">
        <v>666</v>
      </c>
      <c r="M176" s="8">
        <v>0.63500000000000001</v>
      </c>
      <c r="N176" s="105"/>
      <c r="O176" s="29">
        <v>47</v>
      </c>
      <c r="P176" s="4">
        <v>74.849999999999994</v>
      </c>
      <c r="Q176" s="4">
        <v>77.09</v>
      </c>
      <c r="R176" s="1">
        <v>629</v>
      </c>
      <c r="S176" s="8">
        <v>0.61199999999999999</v>
      </c>
    </row>
    <row r="177" spans="1:19" x14ac:dyDescent="0.2">
      <c r="A177" s="109"/>
      <c r="B177" s="105"/>
      <c r="C177" s="29">
        <v>50</v>
      </c>
      <c r="D177" s="4">
        <v>70.23</v>
      </c>
      <c r="E177" s="4">
        <v>73.38</v>
      </c>
      <c r="F177" s="1">
        <v>758</v>
      </c>
      <c r="G177" s="8">
        <v>0.63200000000000001</v>
      </c>
      <c r="H177" s="105"/>
      <c r="I177" s="29">
        <v>50</v>
      </c>
      <c r="J177" s="4">
        <v>72.180000000000007</v>
      </c>
      <c r="K177" s="4">
        <v>74.13</v>
      </c>
      <c r="L177" s="1">
        <v>875</v>
      </c>
      <c r="M177" s="8">
        <v>0.58899999999999997</v>
      </c>
      <c r="N177" s="105"/>
      <c r="O177" s="29">
        <v>50</v>
      </c>
      <c r="P177" s="4">
        <v>74.95</v>
      </c>
      <c r="Q177" s="4">
        <v>76.88</v>
      </c>
      <c r="R177" s="1">
        <v>697</v>
      </c>
      <c r="S177" s="8">
        <v>0.59699999999999998</v>
      </c>
    </row>
    <row r="178" spans="1:19" x14ac:dyDescent="0.2">
      <c r="A178" s="109"/>
      <c r="B178" s="105"/>
      <c r="C178" s="30">
        <v>91</v>
      </c>
      <c r="D178" s="27">
        <v>69.11</v>
      </c>
      <c r="E178" s="27">
        <v>73.5</v>
      </c>
      <c r="F178" s="26">
        <v>578</v>
      </c>
      <c r="G178" s="32">
        <v>0.67900000000000005</v>
      </c>
      <c r="H178" s="105"/>
      <c r="I178" s="30">
        <v>91</v>
      </c>
      <c r="J178" s="27">
        <v>72.95</v>
      </c>
      <c r="K178" s="27">
        <v>71.040000000000006</v>
      </c>
      <c r="L178" s="26">
        <v>1543</v>
      </c>
      <c r="M178" s="32">
        <v>0.44800000000000001</v>
      </c>
      <c r="N178" s="105"/>
      <c r="O178" s="30">
        <v>91</v>
      </c>
      <c r="P178" s="27">
        <v>72.13</v>
      </c>
      <c r="Q178" s="27">
        <v>73.290000000000006</v>
      </c>
      <c r="R178" s="26">
        <v>1037</v>
      </c>
      <c r="S178" s="32">
        <v>0.55700000000000005</v>
      </c>
    </row>
    <row r="179" spans="1:19" x14ac:dyDescent="0.2">
      <c r="A179" s="110"/>
      <c r="B179" s="105"/>
      <c r="C179" s="6" t="s">
        <v>8</v>
      </c>
      <c r="D179" s="7">
        <f>AVERAGE(D174:D178)</f>
        <v>69.022000000000006</v>
      </c>
      <c r="E179" s="7">
        <f>AVERAGE(E174:E178)</f>
        <v>73.587999999999994</v>
      </c>
      <c r="F179" s="35">
        <f>AVERAGE(F174:F178)</f>
        <v>545.4</v>
      </c>
      <c r="G179" s="34">
        <f>AVERAGE(G174:G178)</f>
        <v>0.68680000000000008</v>
      </c>
      <c r="H179" s="105"/>
      <c r="I179" s="6" t="s">
        <v>8</v>
      </c>
      <c r="J179" s="7">
        <f>AVERAGE(J174:J178)</f>
        <v>72.193999999999988</v>
      </c>
      <c r="K179" s="7">
        <f>AVERAGE(K174:K178)</f>
        <v>73.174000000000007</v>
      </c>
      <c r="L179" s="35">
        <f>AVERAGE(L174:L178)</f>
        <v>1053.2</v>
      </c>
      <c r="M179" s="34">
        <f>AVERAGE(M174:M178)</f>
        <v>0.55360000000000009</v>
      </c>
      <c r="N179" s="105"/>
      <c r="O179" s="6" t="s">
        <v>8</v>
      </c>
      <c r="P179" s="7">
        <f>AVERAGE(P174:P178)</f>
        <v>74.47999999999999</v>
      </c>
      <c r="Q179" s="7">
        <f>AVERAGE(Q174:Q178)</f>
        <v>76.238</v>
      </c>
      <c r="R179" s="35">
        <f>AVERAGE(R174:R178)</f>
        <v>763.6</v>
      </c>
      <c r="S179" s="34">
        <f>AVERAGE(S174:S178)</f>
        <v>0.58860000000000001</v>
      </c>
    </row>
    <row r="180" spans="1:19" x14ac:dyDescent="0.2">
      <c r="A180" s="119">
        <v>1.6</v>
      </c>
      <c r="B180" s="105"/>
      <c r="C180" s="28">
        <v>13</v>
      </c>
      <c r="D180" s="25">
        <v>60.99</v>
      </c>
      <c r="E180" s="25">
        <v>70.989999999999995</v>
      </c>
      <c r="F180" s="37">
        <v>87</v>
      </c>
      <c r="G180" s="31">
        <v>0.85899999999999999</v>
      </c>
      <c r="H180" s="105"/>
      <c r="I180" s="28">
        <v>13</v>
      </c>
      <c r="J180" s="25">
        <v>71.12</v>
      </c>
      <c r="K180" s="25">
        <v>73.540000000000006</v>
      </c>
      <c r="L180" s="25">
        <v>847</v>
      </c>
      <c r="M180" s="31">
        <v>0.60599999999999998</v>
      </c>
      <c r="N180" s="105"/>
      <c r="O180" s="28">
        <v>13</v>
      </c>
      <c r="P180" s="25">
        <v>70.790000000000006</v>
      </c>
      <c r="Q180" s="51">
        <v>76</v>
      </c>
      <c r="R180" s="25">
        <v>237</v>
      </c>
      <c r="S180" s="31">
        <v>0.73099999999999998</v>
      </c>
    </row>
    <row r="181" spans="1:19" x14ac:dyDescent="0.2">
      <c r="A181" s="109"/>
      <c r="B181" s="105"/>
      <c r="C181" s="29">
        <v>21</v>
      </c>
      <c r="D181" s="4">
        <v>59.5</v>
      </c>
      <c r="E181" s="4">
        <v>70.34</v>
      </c>
      <c r="F181" s="1">
        <v>58</v>
      </c>
      <c r="G181" s="33">
        <v>0.88</v>
      </c>
      <c r="H181" s="105"/>
      <c r="I181" s="29">
        <v>21</v>
      </c>
      <c r="J181" s="4">
        <v>69.95</v>
      </c>
      <c r="K181" s="4">
        <v>73.97</v>
      </c>
      <c r="L181" s="1">
        <v>592</v>
      </c>
      <c r="M181" s="8">
        <v>0.66800000000000004</v>
      </c>
      <c r="N181" s="105"/>
      <c r="O181" s="29">
        <v>21</v>
      </c>
      <c r="P181" s="4">
        <v>72.930000000000007</v>
      </c>
      <c r="Q181" s="4">
        <v>76.930000000000007</v>
      </c>
      <c r="R181" s="1">
        <v>348</v>
      </c>
      <c r="S181" s="8">
        <v>0.68700000000000006</v>
      </c>
    </row>
    <row r="182" spans="1:19" x14ac:dyDescent="0.2">
      <c r="A182" s="109"/>
      <c r="B182" s="105"/>
      <c r="C182" s="29">
        <v>47</v>
      </c>
      <c r="D182" s="4">
        <v>58.79</v>
      </c>
      <c r="E182" s="4">
        <v>69.97</v>
      </c>
      <c r="F182" s="1">
        <v>59</v>
      </c>
      <c r="G182" s="8">
        <v>0.88600000000000001</v>
      </c>
      <c r="H182" s="105"/>
      <c r="I182" s="29">
        <v>47</v>
      </c>
      <c r="J182" s="4">
        <v>70.81</v>
      </c>
      <c r="K182" s="4">
        <v>73.349999999999994</v>
      </c>
      <c r="L182" s="1">
        <v>843</v>
      </c>
      <c r="M182" s="8">
        <v>0.60899999999999999</v>
      </c>
      <c r="N182" s="105"/>
      <c r="O182" s="29">
        <v>47</v>
      </c>
      <c r="P182" s="4">
        <v>70.599999999999994</v>
      </c>
      <c r="Q182" s="4">
        <v>73.44</v>
      </c>
      <c r="R182" s="1">
        <v>796</v>
      </c>
      <c r="S182" s="8">
        <v>0.621</v>
      </c>
    </row>
    <row r="183" spans="1:19" x14ac:dyDescent="0.2">
      <c r="A183" s="109"/>
      <c r="B183" s="105"/>
      <c r="C183" s="29">
        <v>50</v>
      </c>
      <c r="D183" s="4">
        <v>60.12</v>
      </c>
      <c r="E183" s="4">
        <v>60.12</v>
      </c>
      <c r="F183" s="1">
        <v>87</v>
      </c>
      <c r="G183" s="8">
        <v>0.86799999999999999</v>
      </c>
      <c r="H183" s="105"/>
      <c r="I183" s="29">
        <v>50</v>
      </c>
      <c r="J183" s="4">
        <v>69.09</v>
      </c>
      <c r="K183" s="4">
        <v>73.88</v>
      </c>
      <c r="L183" s="1">
        <v>489</v>
      </c>
      <c r="M183" s="8">
        <v>0.69699999999999995</v>
      </c>
      <c r="N183" s="105"/>
      <c r="O183" s="29">
        <v>50</v>
      </c>
      <c r="P183" s="4">
        <v>75.16</v>
      </c>
      <c r="Q183" s="4">
        <v>78.39</v>
      </c>
      <c r="R183" s="1">
        <v>355</v>
      </c>
      <c r="S183" s="8">
        <v>0.66400000000000003</v>
      </c>
    </row>
    <row r="184" spans="1:19" x14ac:dyDescent="0.2">
      <c r="A184" s="109"/>
      <c r="B184" s="105"/>
      <c r="C184" s="30">
        <v>91</v>
      </c>
      <c r="D184" s="27">
        <v>62.66</v>
      </c>
      <c r="E184" s="27">
        <v>71.77</v>
      </c>
      <c r="F184" s="26">
        <v>114</v>
      </c>
      <c r="G184" s="32">
        <v>0.83699999999999997</v>
      </c>
      <c r="H184" s="105"/>
      <c r="I184" s="30">
        <v>91</v>
      </c>
      <c r="J184" s="27">
        <v>70.989999999999995</v>
      </c>
      <c r="K184" s="27">
        <v>74.72</v>
      </c>
      <c r="L184" s="26">
        <v>573</v>
      </c>
      <c r="M184" s="32">
        <v>0.66200000000000003</v>
      </c>
      <c r="N184" s="105"/>
      <c r="O184" s="30">
        <v>91</v>
      </c>
      <c r="P184" s="27">
        <v>71.900000000000006</v>
      </c>
      <c r="Q184" s="27">
        <v>73.31</v>
      </c>
      <c r="R184" s="26">
        <v>1002</v>
      </c>
      <c r="S184" s="32">
        <v>0.56699999999999995</v>
      </c>
    </row>
    <row r="185" spans="1:19" x14ac:dyDescent="0.2">
      <c r="A185" s="110"/>
      <c r="B185" s="105"/>
      <c r="C185" s="6" t="s">
        <v>8</v>
      </c>
      <c r="D185" s="7">
        <f>AVERAGE(D180:D184)</f>
        <v>60.411999999999999</v>
      </c>
      <c r="E185" s="7">
        <f>AVERAGE(E180:E184)</f>
        <v>68.637999999999991</v>
      </c>
      <c r="F185" s="35">
        <f>AVERAGE(F180:F184)</f>
        <v>81</v>
      </c>
      <c r="G185" s="34">
        <f>AVERAGE(G180:G184)</f>
        <v>0.86599999999999999</v>
      </c>
      <c r="H185" s="105"/>
      <c r="I185" s="6" t="s">
        <v>8</v>
      </c>
      <c r="J185" s="7">
        <f>AVERAGE(J180:J184)</f>
        <v>70.39200000000001</v>
      </c>
      <c r="K185" s="7">
        <f>AVERAGE(K180:K184)</f>
        <v>73.89200000000001</v>
      </c>
      <c r="L185" s="35">
        <f>AVERAGE(L180:L184)</f>
        <v>668.8</v>
      </c>
      <c r="M185" s="34">
        <f>AVERAGE(M180:M184)</f>
        <v>0.64839999999999998</v>
      </c>
      <c r="N185" s="105"/>
      <c r="O185" s="6" t="s">
        <v>8</v>
      </c>
      <c r="P185" s="7">
        <f>AVERAGE(P180:P184)</f>
        <v>72.275999999999996</v>
      </c>
      <c r="Q185" s="7">
        <f>AVERAGE(Q180:Q184)</f>
        <v>75.614000000000004</v>
      </c>
      <c r="R185" s="35">
        <f>AVERAGE(R180:R184)</f>
        <v>547.6</v>
      </c>
      <c r="S185" s="34">
        <f>AVERAGE(S180:S184)</f>
        <v>0.65400000000000014</v>
      </c>
    </row>
    <row r="186" spans="1:19" x14ac:dyDescent="0.2">
      <c r="A186" s="119">
        <v>1.8</v>
      </c>
      <c r="B186" s="105"/>
      <c r="C186" s="28">
        <v>13</v>
      </c>
      <c r="D186" s="25">
        <v>51.87</v>
      </c>
      <c r="E186" s="25">
        <v>66.88</v>
      </c>
      <c r="F186" s="25">
        <v>1</v>
      </c>
      <c r="G186" s="31">
        <v>0.96199999999999997</v>
      </c>
      <c r="H186" s="105"/>
      <c r="I186" s="28">
        <v>13</v>
      </c>
      <c r="J186" s="25">
        <v>67.290000000000006</v>
      </c>
      <c r="K186" s="25">
        <v>73.510000000000005</v>
      </c>
      <c r="L186" s="25">
        <v>322</v>
      </c>
      <c r="M186" s="31">
        <v>0.749</v>
      </c>
      <c r="N186" s="105"/>
      <c r="O186" s="28">
        <v>13</v>
      </c>
      <c r="P186" s="25">
        <v>67.69</v>
      </c>
      <c r="Q186" s="25">
        <v>74.23</v>
      </c>
      <c r="R186" s="25">
        <v>208</v>
      </c>
      <c r="S186" s="31">
        <v>0.76800000000000002</v>
      </c>
    </row>
    <row r="187" spans="1:19" x14ac:dyDescent="0.2">
      <c r="A187" s="109"/>
      <c r="B187" s="105"/>
      <c r="C187" s="29">
        <v>21</v>
      </c>
      <c r="D187" s="4">
        <v>49.93</v>
      </c>
      <c r="E187" s="4">
        <v>66.010000000000005</v>
      </c>
      <c r="F187" s="1">
        <v>0</v>
      </c>
      <c r="G187" s="8">
        <v>0.98699999999999999</v>
      </c>
      <c r="H187" s="105"/>
      <c r="I187" s="29">
        <v>21</v>
      </c>
      <c r="J187" s="4">
        <v>64.97</v>
      </c>
      <c r="K187" s="4">
        <v>72.75</v>
      </c>
      <c r="L187" s="1">
        <v>186</v>
      </c>
      <c r="M187" s="8">
        <v>0.79900000000000004</v>
      </c>
      <c r="N187" s="105"/>
      <c r="O187" s="29">
        <v>21</v>
      </c>
      <c r="P187" s="4">
        <v>68.34</v>
      </c>
      <c r="Q187" s="4">
        <v>74.61</v>
      </c>
      <c r="R187" s="1">
        <v>210</v>
      </c>
      <c r="S187" s="8">
        <v>0.76100000000000001</v>
      </c>
    </row>
    <row r="188" spans="1:19" x14ac:dyDescent="0.2">
      <c r="A188" s="109"/>
      <c r="B188" s="105"/>
      <c r="C188" s="29">
        <v>47</v>
      </c>
      <c r="D188" s="4">
        <v>50.04</v>
      </c>
      <c r="E188" s="4">
        <v>66.06</v>
      </c>
      <c r="F188" s="1">
        <v>0</v>
      </c>
      <c r="G188" s="8">
        <v>0.98599999999999999</v>
      </c>
      <c r="H188" s="105"/>
      <c r="I188" s="29">
        <v>47</v>
      </c>
      <c r="J188" s="4">
        <v>63.21</v>
      </c>
      <c r="K188" s="4">
        <v>71.900000000000006</v>
      </c>
      <c r="L188" s="1">
        <v>155</v>
      </c>
      <c r="M188" s="8">
        <v>0.82299999999999995</v>
      </c>
      <c r="N188" s="105"/>
      <c r="O188" s="29">
        <v>47</v>
      </c>
      <c r="P188" s="4">
        <v>64.349999999999994</v>
      </c>
      <c r="Q188" s="4">
        <v>71.959999999999994</v>
      </c>
      <c r="R188" s="1">
        <v>287</v>
      </c>
      <c r="S188" s="8">
        <v>0.78500000000000003</v>
      </c>
    </row>
    <row r="189" spans="1:19" x14ac:dyDescent="0.2">
      <c r="A189" s="109"/>
      <c r="B189" s="105"/>
      <c r="C189" s="29">
        <v>50</v>
      </c>
      <c r="D189" s="4">
        <v>51.49</v>
      </c>
      <c r="E189" s="4">
        <v>66.709999999999994</v>
      </c>
      <c r="F189" s="1">
        <v>1</v>
      </c>
      <c r="G189" s="8">
        <v>0.97099999999999997</v>
      </c>
      <c r="H189" s="105"/>
      <c r="I189" s="29">
        <v>50</v>
      </c>
      <c r="J189" s="4">
        <v>63.07</v>
      </c>
      <c r="K189" s="4">
        <v>71.84</v>
      </c>
      <c r="L189" s="1">
        <v>150</v>
      </c>
      <c r="M189" s="8">
        <v>0.82499999999999996</v>
      </c>
      <c r="N189" s="105"/>
      <c r="O189" s="29">
        <v>50</v>
      </c>
      <c r="P189" s="4">
        <v>68.12</v>
      </c>
      <c r="Q189" s="4">
        <v>73.989999999999995</v>
      </c>
      <c r="R189" s="1">
        <v>326</v>
      </c>
      <c r="S189" s="33">
        <v>0.74</v>
      </c>
    </row>
    <row r="190" spans="1:19" x14ac:dyDescent="0.2">
      <c r="A190" s="109"/>
      <c r="B190" s="105"/>
      <c r="C190" s="30">
        <v>91</v>
      </c>
      <c r="D190" s="27">
        <v>53.52</v>
      </c>
      <c r="E190" s="27">
        <v>67.650000000000006</v>
      </c>
      <c r="F190" s="26">
        <v>1</v>
      </c>
      <c r="G190" s="32">
        <v>0.95099999999999996</v>
      </c>
      <c r="H190" s="105"/>
      <c r="I190" s="30">
        <v>91</v>
      </c>
      <c r="J190" s="27">
        <v>62.66</v>
      </c>
      <c r="K190" s="27">
        <v>71.819999999999993</v>
      </c>
      <c r="L190" s="26">
        <v>103</v>
      </c>
      <c r="M190" s="32">
        <v>0.83899999999999997</v>
      </c>
      <c r="N190" s="105"/>
      <c r="O190" s="30">
        <v>91</v>
      </c>
      <c r="P190" s="27">
        <v>67.69</v>
      </c>
      <c r="Q190" s="27">
        <v>73.819999999999993</v>
      </c>
      <c r="R190" s="26">
        <v>306</v>
      </c>
      <c r="S190" s="32">
        <v>0.748</v>
      </c>
    </row>
    <row r="191" spans="1:19" x14ac:dyDescent="0.2">
      <c r="A191" s="110"/>
      <c r="B191" s="105"/>
      <c r="C191" s="6" t="s">
        <v>8</v>
      </c>
      <c r="D191" s="7">
        <f>AVERAGE(D186:D190)</f>
        <v>51.370000000000005</v>
      </c>
      <c r="E191" s="7">
        <f>AVERAGE(E186:E190)</f>
        <v>66.661999999999992</v>
      </c>
      <c r="F191" s="35">
        <f>AVERAGE(F186:F190)</f>
        <v>0.6</v>
      </c>
      <c r="G191" s="34">
        <f>AVERAGE(G186:G190)</f>
        <v>0.97139999999999982</v>
      </c>
      <c r="H191" s="105"/>
      <c r="I191" s="6" t="s">
        <v>8</v>
      </c>
      <c r="J191" s="7">
        <f>AVERAGE(J186:J190)</f>
        <v>64.240000000000009</v>
      </c>
      <c r="K191" s="7">
        <f>AVERAGE(K186:K190)</f>
        <v>72.364000000000004</v>
      </c>
      <c r="L191" s="35">
        <f>AVERAGE(L186:L190)</f>
        <v>183.2</v>
      </c>
      <c r="M191" s="34">
        <f>AVERAGE(M186:M190)</f>
        <v>0.80700000000000005</v>
      </c>
      <c r="N191" s="105"/>
      <c r="O191" s="6" t="s">
        <v>8</v>
      </c>
      <c r="P191" s="7">
        <f>AVERAGE(P186:P190)</f>
        <v>67.238</v>
      </c>
      <c r="Q191" s="7">
        <f>AVERAGE(Q186:Q190)</f>
        <v>73.722000000000008</v>
      </c>
      <c r="R191" s="35">
        <f>AVERAGE(R186:R190)</f>
        <v>267.39999999999998</v>
      </c>
      <c r="S191" s="34">
        <f>AVERAGE(S186:S190)</f>
        <v>0.76040000000000008</v>
      </c>
    </row>
    <row r="192" spans="1:19" x14ac:dyDescent="0.2">
      <c r="A192" s="119">
        <v>2</v>
      </c>
      <c r="B192" s="105"/>
      <c r="C192" s="28">
        <v>13</v>
      </c>
      <c r="D192" s="25">
        <v>49.19</v>
      </c>
      <c r="E192" s="25">
        <v>65.680000000000007</v>
      </c>
      <c r="F192" s="25">
        <v>0</v>
      </c>
      <c r="G192" s="31">
        <v>0.99399999999999999</v>
      </c>
      <c r="H192" s="105"/>
      <c r="I192" s="28">
        <v>13</v>
      </c>
      <c r="J192" s="25">
        <v>56.03</v>
      </c>
      <c r="K192" s="25">
        <v>68.73</v>
      </c>
      <c r="L192" s="25">
        <v>29</v>
      </c>
      <c r="M192" s="36">
        <v>0.92</v>
      </c>
      <c r="N192" s="105"/>
      <c r="O192" s="28">
        <v>13</v>
      </c>
      <c r="P192" s="25">
        <v>57.35</v>
      </c>
      <c r="Q192" s="25">
        <v>69.23</v>
      </c>
      <c r="R192" s="25">
        <v>62</v>
      </c>
      <c r="S192" s="36">
        <v>0.9</v>
      </c>
    </row>
    <row r="193" spans="1:19" x14ac:dyDescent="0.2">
      <c r="A193" s="109"/>
      <c r="B193" s="105"/>
      <c r="C193" s="29">
        <v>21</v>
      </c>
      <c r="D193" s="4">
        <v>48.68</v>
      </c>
      <c r="E193" s="4">
        <v>65.45</v>
      </c>
      <c r="F193" s="1">
        <v>0</v>
      </c>
      <c r="G193" s="8">
        <v>0.999</v>
      </c>
      <c r="H193" s="105"/>
      <c r="I193" s="29">
        <v>21</v>
      </c>
      <c r="J193" s="4">
        <v>55.05</v>
      </c>
      <c r="K193" s="4">
        <v>68.31</v>
      </c>
      <c r="L193" s="1">
        <v>17</v>
      </c>
      <c r="M193" s="8">
        <v>0.93200000000000005</v>
      </c>
      <c r="N193" s="105"/>
      <c r="O193" s="29">
        <v>21</v>
      </c>
      <c r="P193" s="4">
        <v>49.02</v>
      </c>
      <c r="Q193" s="4">
        <v>65.59</v>
      </c>
      <c r="R193" s="1">
        <v>4</v>
      </c>
      <c r="S193" s="8">
        <v>0.995</v>
      </c>
    </row>
    <row r="194" spans="1:19" x14ac:dyDescent="0.2">
      <c r="A194" s="109"/>
      <c r="B194" s="105"/>
      <c r="C194" s="29">
        <v>47</v>
      </c>
      <c r="D194" s="4">
        <v>48.66</v>
      </c>
      <c r="E194" s="4">
        <v>65.44</v>
      </c>
      <c r="F194" s="1">
        <v>0</v>
      </c>
      <c r="G194" s="8">
        <v>0.999</v>
      </c>
      <c r="H194" s="105"/>
      <c r="I194" s="29">
        <v>47</v>
      </c>
      <c r="J194" s="4">
        <v>49.35</v>
      </c>
      <c r="K194" s="4">
        <v>65.75</v>
      </c>
      <c r="L194" s="1">
        <v>0</v>
      </c>
      <c r="M194" s="8">
        <v>0.99299999999999999</v>
      </c>
      <c r="N194" s="105"/>
      <c r="O194" s="29">
        <v>47</v>
      </c>
      <c r="P194" s="4">
        <v>48.69</v>
      </c>
      <c r="Q194" s="4">
        <v>65.45</v>
      </c>
      <c r="R194" s="1">
        <v>0</v>
      </c>
      <c r="S194" s="8">
        <v>0.999</v>
      </c>
    </row>
    <row r="195" spans="1:19" x14ac:dyDescent="0.2">
      <c r="A195" s="109"/>
      <c r="B195" s="105"/>
      <c r="C195" s="29">
        <v>50</v>
      </c>
      <c r="D195" s="4">
        <v>48.81</v>
      </c>
      <c r="E195" s="4">
        <v>65.510000000000005</v>
      </c>
      <c r="F195" s="1">
        <v>0</v>
      </c>
      <c r="G195" s="8">
        <v>0.998</v>
      </c>
      <c r="H195" s="105"/>
      <c r="I195" s="29">
        <v>50</v>
      </c>
      <c r="J195" s="4">
        <v>51.45</v>
      </c>
      <c r="K195" s="4">
        <v>66.680000000000007</v>
      </c>
      <c r="L195" s="1">
        <v>3</v>
      </c>
      <c r="M195" s="8">
        <v>0.97099999999999997</v>
      </c>
      <c r="N195" s="105"/>
      <c r="O195" s="29">
        <v>50</v>
      </c>
      <c r="P195" s="4">
        <v>52.18</v>
      </c>
      <c r="Q195" s="4">
        <v>66.98</v>
      </c>
      <c r="R195" s="1">
        <v>12</v>
      </c>
      <c r="S195" s="8">
        <v>0.96199999999999997</v>
      </c>
    </row>
    <row r="196" spans="1:19" x14ac:dyDescent="0.2">
      <c r="A196" s="109"/>
      <c r="B196" s="105"/>
      <c r="C196" s="30">
        <v>91</v>
      </c>
      <c r="D196" s="27">
        <v>48.77</v>
      </c>
      <c r="E196" s="27">
        <v>65.489999999999995</v>
      </c>
      <c r="F196" s="26">
        <v>0</v>
      </c>
      <c r="G196" s="32">
        <v>0.998</v>
      </c>
      <c r="H196" s="105"/>
      <c r="I196" s="30">
        <v>91</v>
      </c>
      <c r="J196" s="27">
        <v>51.42</v>
      </c>
      <c r="K196" s="27">
        <v>66.66</v>
      </c>
      <c r="L196" s="26">
        <v>4</v>
      </c>
      <c r="M196" s="32">
        <v>0.97099999999999997</v>
      </c>
      <c r="N196" s="105"/>
      <c r="O196" s="30">
        <v>91</v>
      </c>
      <c r="P196" s="27">
        <v>54.51</v>
      </c>
      <c r="Q196" s="27">
        <v>68.099999999999994</v>
      </c>
      <c r="R196" s="26">
        <v>6</v>
      </c>
      <c r="S196" s="52">
        <v>0.94</v>
      </c>
    </row>
    <row r="197" spans="1:19" x14ac:dyDescent="0.2">
      <c r="A197" s="110"/>
      <c r="B197" s="106"/>
      <c r="C197" s="6" t="s">
        <v>8</v>
      </c>
      <c r="D197" s="7">
        <f>AVERAGE(D192:D196)</f>
        <v>48.822000000000003</v>
      </c>
      <c r="E197" s="7">
        <f>AVERAGE(E192:E196)</f>
        <v>65.513999999999996</v>
      </c>
      <c r="F197" s="35">
        <f>AVERAGE(F192:F196)</f>
        <v>0</v>
      </c>
      <c r="G197" s="34">
        <f>AVERAGE(G192:G196)</f>
        <v>0.99760000000000004</v>
      </c>
      <c r="H197" s="106"/>
      <c r="I197" s="6" t="s">
        <v>8</v>
      </c>
      <c r="J197" s="7">
        <f>AVERAGE(J192:J196)</f>
        <v>52.660000000000004</v>
      </c>
      <c r="K197" s="7">
        <f>AVERAGE(K192:K196)</f>
        <v>67.225999999999999</v>
      </c>
      <c r="L197" s="35">
        <f>AVERAGE(L192:L196)</f>
        <v>10.6</v>
      </c>
      <c r="M197" s="34">
        <f>AVERAGE(M192:M196)</f>
        <v>0.95740000000000003</v>
      </c>
      <c r="N197" s="106"/>
      <c r="O197" s="6" t="s">
        <v>8</v>
      </c>
      <c r="P197" s="7">
        <f>AVERAGE(P192:P196)</f>
        <v>52.35</v>
      </c>
      <c r="Q197" s="7">
        <f>AVERAGE(Q192:Q196)</f>
        <v>67.070000000000007</v>
      </c>
      <c r="R197" s="35">
        <f>AVERAGE(R192:R196)</f>
        <v>16.8</v>
      </c>
      <c r="S197" s="34">
        <f>AVERAGE(S192:S196)</f>
        <v>0.95919999999999983</v>
      </c>
    </row>
    <row r="200" spans="1:19" x14ac:dyDescent="0.2">
      <c r="A200" s="120" t="s">
        <v>23</v>
      </c>
      <c r="B200" s="107" t="s">
        <v>0</v>
      </c>
      <c r="C200" s="108"/>
      <c r="D200" s="108"/>
      <c r="E200" s="108"/>
      <c r="F200" s="108"/>
      <c r="G200" s="111"/>
      <c r="H200" s="107" t="s">
        <v>1</v>
      </c>
      <c r="I200" s="108"/>
      <c r="J200" s="108"/>
      <c r="K200" s="108"/>
      <c r="L200" s="108"/>
      <c r="M200" s="111"/>
      <c r="N200" s="107" t="s">
        <v>2</v>
      </c>
      <c r="O200" s="108"/>
      <c r="P200" s="108"/>
      <c r="Q200" s="108"/>
      <c r="R200" s="108"/>
      <c r="S200" s="111"/>
    </row>
    <row r="201" spans="1:19" x14ac:dyDescent="0.2">
      <c r="A201" s="121"/>
      <c r="B201" s="19" t="s">
        <v>3</v>
      </c>
      <c r="C201" s="1" t="s">
        <v>4</v>
      </c>
      <c r="D201" s="1" t="s">
        <v>6</v>
      </c>
      <c r="E201" s="2" t="s">
        <v>7</v>
      </c>
      <c r="F201" s="1" t="s">
        <v>24</v>
      </c>
      <c r="G201" s="8" t="s">
        <v>25</v>
      </c>
      <c r="H201" s="19" t="s">
        <v>3</v>
      </c>
      <c r="I201" s="1" t="s">
        <v>4</v>
      </c>
      <c r="J201" s="1" t="s">
        <v>6</v>
      </c>
      <c r="K201" s="2" t="s">
        <v>7</v>
      </c>
      <c r="L201" s="1" t="s">
        <v>24</v>
      </c>
      <c r="M201" s="8" t="s">
        <v>25</v>
      </c>
      <c r="N201" s="19" t="s">
        <v>3</v>
      </c>
      <c r="O201" s="1" t="s">
        <v>4</v>
      </c>
      <c r="P201" s="1" t="s">
        <v>6</v>
      </c>
      <c r="Q201" s="2" t="s">
        <v>7</v>
      </c>
      <c r="R201" s="1" t="s">
        <v>24</v>
      </c>
      <c r="S201" s="8" t="s">
        <v>25</v>
      </c>
    </row>
    <row r="202" spans="1:19" x14ac:dyDescent="0.2">
      <c r="A202" s="122">
        <v>1</v>
      </c>
      <c r="B202" s="104">
        <v>16</v>
      </c>
      <c r="C202" s="28">
        <v>13</v>
      </c>
      <c r="D202" s="25">
        <v>75.209999999999994</v>
      </c>
      <c r="E202" s="1">
        <v>76.09</v>
      </c>
      <c r="F202" s="25">
        <v>917</v>
      </c>
      <c r="G202" s="31">
        <v>0.55100000000000005</v>
      </c>
      <c r="H202" s="104">
        <v>16</v>
      </c>
      <c r="I202" s="28">
        <v>13</v>
      </c>
      <c r="J202" s="25">
        <v>76.89</v>
      </c>
      <c r="K202" s="1">
        <v>76.790000000000006</v>
      </c>
      <c r="L202" s="25">
        <v>1037</v>
      </c>
      <c r="M202" s="36">
        <v>0.51</v>
      </c>
      <c r="N202" s="104">
        <v>16</v>
      </c>
      <c r="O202" s="28">
        <v>13</v>
      </c>
      <c r="P202" s="25">
        <v>77.06</v>
      </c>
      <c r="Q202" s="1">
        <v>76.650000000000006</v>
      </c>
      <c r="R202" s="25">
        <v>1095</v>
      </c>
      <c r="S202" s="31">
        <v>0.497</v>
      </c>
    </row>
    <row r="203" spans="1:19" x14ac:dyDescent="0.2">
      <c r="A203" s="123"/>
      <c r="B203" s="105"/>
      <c r="C203" s="29">
        <v>21</v>
      </c>
      <c r="D203" s="4">
        <v>75.5</v>
      </c>
      <c r="E203" s="4">
        <v>74.930000000000007</v>
      </c>
      <c r="F203" s="1">
        <v>1200</v>
      </c>
      <c r="G203" s="8">
        <v>0.49099999999999999</v>
      </c>
      <c r="H203" s="105"/>
      <c r="I203" s="29">
        <v>21</v>
      </c>
      <c r="J203" s="4">
        <v>76.790000000000006</v>
      </c>
      <c r="K203" s="4">
        <v>76.34</v>
      </c>
      <c r="L203" s="1">
        <v>1117</v>
      </c>
      <c r="M203" s="8">
        <v>0.495</v>
      </c>
      <c r="N203" s="105"/>
      <c r="O203" s="29">
        <v>21</v>
      </c>
      <c r="P203" s="4">
        <v>78.08</v>
      </c>
      <c r="Q203" s="4">
        <v>77.98</v>
      </c>
      <c r="R203" s="1">
        <v>980</v>
      </c>
      <c r="S203" s="8">
        <v>0.50900000000000001</v>
      </c>
    </row>
    <row r="204" spans="1:19" x14ac:dyDescent="0.2">
      <c r="A204" s="123"/>
      <c r="B204" s="105"/>
      <c r="C204" s="29">
        <v>47</v>
      </c>
      <c r="D204" s="4">
        <v>75.94</v>
      </c>
      <c r="E204" s="4">
        <v>75.540000000000006</v>
      </c>
      <c r="F204" s="1">
        <v>1146</v>
      </c>
      <c r="G204" s="8">
        <v>0.498</v>
      </c>
      <c r="H204" s="105"/>
      <c r="I204" s="29">
        <v>47</v>
      </c>
      <c r="J204" s="4">
        <v>76.44</v>
      </c>
      <c r="K204" s="4">
        <v>75.37</v>
      </c>
      <c r="L204" s="1">
        <v>1257</v>
      </c>
      <c r="M204" s="33">
        <v>0.47</v>
      </c>
      <c r="N204" s="105"/>
      <c r="O204" s="29">
        <v>47</v>
      </c>
      <c r="P204" s="4">
        <v>77.8</v>
      </c>
      <c r="Q204" s="4">
        <v>77.53</v>
      </c>
      <c r="R204" s="1">
        <v>1032</v>
      </c>
      <c r="S204" s="8">
        <v>0.502</v>
      </c>
    </row>
    <row r="205" spans="1:19" x14ac:dyDescent="0.2">
      <c r="A205" s="123"/>
      <c r="B205" s="105"/>
      <c r="C205" s="29">
        <v>50</v>
      </c>
      <c r="D205" s="4">
        <v>75.680000000000007</v>
      </c>
      <c r="E205" s="4">
        <v>75.5</v>
      </c>
      <c r="F205" s="1">
        <v>1114</v>
      </c>
      <c r="G205" s="8">
        <v>0.50700000000000001</v>
      </c>
      <c r="H205" s="105"/>
      <c r="I205" s="29">
        <v>50</v>
      </c>
      <c r="J205" s="4">
        <v>76.75</v>
      </c>
      <c r="K205" s="4">
        <v>77.03</v>
      </c>
      <c r="L205" s="1">
        <v>963</v>
      </c>
      <c r="M205" s="8">
        <v>0.52600000000000002</v>
      </c>
      <c r="N205" s="105"/>
      <c r="O205" s="29">
        <v>50</v>
      </c>
      <c r="P205" s="4">
        <v>78.12</v>
      </c>
      <c r="Q205" s="4">
        <v>78.650000000000006</v>
      </c>
      <c r="R205" s="1">
        <v>830</v>
      </c>
      <c r="S205" s="8">
        <v>0.53400000000000003</v>
      </c>
    </row>
    <row r="206" spans="1:19" x14ac:dyDescent="0.2">
      <c r="A206" s="123"/>
      <c r="B206" s="105"/>
      <c r="C206" s="30">
        <v>91</v>
      </c>
      <c r="D206" s="27">
        <v>75.59</v>
      </c>
      <c r="E206" s="27">
        <v>73.680000000000007</v>
      </c>
      <c r="F206" s="26">
        <v>1445</v>
      </c>
      <c r="G206" s="32">
        <v>0.441</v>
      </c>
      <c r="H206" s="105"/>
      <c r="I206" s="30">
        <v>91</v>
      </c>
      <c r="J206" s="27">
        <v>77.03</v>
      </c>
      <c r="K206" s="27">
        <v>76.13</v>
      </c>
      <c r="L206" s="26">
        <v>1199</v>
      </c>
      <c r="M206" s="32">
        <v>0.47599999999999998</v>
      </c>
      <c r="N206" s="105"/>
      <c r="O206" s="30">
        <v>91</v>
      </c>
      <c r="P206" s="27">
        <v>78.08</v>
      </c>
      <c r="Q206" s="27">
        <v>78.31</v>
      </c>
      <c r="R206" s="26">
        <v>903</v>
      </c>
      <c r="S206" s="32">
        <v>0.52500000000000002</v>
      </c>
    </row>
    <row r="207" spans="1:19" x14ac:dyDescent="0.2">
      <c r="A207" s="121"/>
      <c r="B207" s="105"/>
      <c r="C207" s="6" t="s">
        <v>8</v>
      </c>
      <c r="D207" s="7">
        <f>AVERAGE(D202:D206)</f>
        <v>75.583999999999989</v>
      </c>
      <c r="E207" s="7">
        <f>AVERAGE(E202:E206)</f>
        <v>75.147999999999996</v>
      </c>
      <c r="F207" s="35">
        <f>AVERAGE(F202:F206)</f>
        <v>1164.4000000000001</v>
      </c>
      <c r="G207" s="34">
        <f>AVERAGE(G202:G206)</f>
        <v>0.49759999999999999</v>
      </c>
      <c r="H207" s="105"/>
      <c r="I207" s="6" t="s">
        <v>8</v>
      </c>
      <c r="J207" s="7">
        <f>AVERAGE(J202:J206)</f>
        <v>76.78</v>
      </c>
      <c r="K207" s="7">
        <f>AVERAGE(K202:K206)</f>
        <v>76.331999999999994</v>
      </c>
      <c r="L207" s="35">
        <f>AVERAGE(L202:L206)</f>
        <v>1114.5999999999999</v>
      </c>
      <c r="M207" s="34">
        <f>AVERAGE(M202:M206)</f>
        <v>0.49539999999999995</v>
      </c>
      <c r="N207" s="105"/>
      <c r="O207" s="6" t="s">
        <v>8</v>
      </c>
      <c r="P207" s="7">
        <f>AVERAGE(P202:P206)</f>
        <v>77.828000000000003</v>
      </c>
      <c r="Q207" s="7">
        <f>AVERAGE(Q202:Q206)</f>
        <v>77.823999999999998</v>
      </c>
      <c r="R207" s="35">
        <f>AVERAGE(R202:R206)</f>
        <v>968</v>
      </c>
      <c r="S207" s="34">
        <f>AVERAGE(S202:S206)</f>
        <v>0.51339999999999997</v>
      </c>
    </row>
    <row r="208" spans="1:19" x14ac:dyDescent="0.2">
      <c r="A208" s="119">
        <v>1.2</v>
      </c>
      <c r="B208" s="105"/>
      <c r="C208" s="28">
        <v>13</v>
      </c>
      <c r="D208" s="25">
        <v>73.930000000000007</v>
      </c>
      <c r="E208" s="25">
        <v>75.63</v>
      </c>
      <c r="F208" s="25">
        <v>815</v>
      </c>
      <c r="G208" s="31">
        <v>0.58399999999999996</v>
      </c>
      <c r="H208" s="105"/>
      <c r="I208" s="28">
        <v>13</v>
      </c>
      <c r="J208" s="25">
        <v>75.39</v>
      </c>
      <c r="K208" s="25">
        <v>76.180000000000007</v>
      </c>
      <c r="L208" s="25">
        <v>926</v>
      </c>
      <c r="M208" s="31">
        <v>0.54700000000000004</v>
      </c>
      <c r="N208" s="105"/>
      <c r="O208" s="28">
        <v>13</v>
      </c>
      <c r="P208" s="25">
        <v>77.180000000000007</v>
      </c>
      <c r="Q208" s="1">
        <v>77.27</v>
      </c>
      <c r="R208" s="25">
        <v>983</v>
      </c>
      <c r="S208" s="31">
        <v>0.51800000000000002</v>
      </c>
    </row>
    <row r="209" spans="1:19" x14ac:dyDescent="0.2">
      <c r="A209" s="109"/>
      <c r="B209" s="105"/>
      <c r="C209" s="29">
        <v>21</v>
      </c>
      <c r="D209" s="4">
        <v>75.34</v>
      </c>
      <c r="E209" s="4">
        <v>75.59</v>
      </c>
      <c r="F209" s="1">
        <v>1043</v>
      </c>
      <c r="G209" s="8">
        <v>0.52400000000000002</v>
      </c>
      <c r="H209" s="105"/>
      <c r="I209" s="29">
        <v>21</v>
      </c>
      <c r="J209" s="4">
        <v>77.05</v>
      </c>
      <c r="K209" s="4">
        <v>76.650000000000006</v>
      </c>
      <c r="L209" s="1">
        <v>1094</v>
      </c>
      <c r="M209" s="8">
        <v>0.497</v>
      </c>
      <c r="N209" s="105"/>
      <c r="O209" s="29">
        <v>21</v>
      </c>
      <c r="P209" s="4">
        <v>77.709999999999994</v>
      </c>
      <c r="Q209" s="4">
        <v>77.67</v>
      </c>
      <c r="R209" s="1">
        <v>985</v>
      </c>
      <c r="S209" s="8">
        <v>0.51200000000000001</v>
      </c>
    </row>
    <row r="210" spans="1:19" x14ac:dyDescent="0.2">
      <c r="A210" s="109"/>
      <c r="B210" s="105"/>
      <c r="C210" s="29">
        <v>47</v>
      </c>
      <c r="D210" s="4">
        <v>75.47</v>
      </c>
      <c r="E210" s="4">
        <v>76.430000000000007</v>
      </c>
      <c r="F210" s="1">
        <v>883</v>
      </c>
      <c r="G210" s="8">
        <v>0.55500000000000005</v>
      </c>
      <c r="H210" s="105"/>
      <c r="I210" s="29">
        <v>47</v>
      </c>
      <c r="J210" s="4">
        <v>75.489999999999995</v>
      </c>
      <c r="K210" s="4">
        <v>76.34</v>
      </c>
      <c r="L210" s="1">
        <v>906</v>
      </c>
      <c r="M210" s="8">
        <v>0.55000000000000004</v>
      </c>
      <c r="N210" s="105"/>
      <c r="O210" s="29">
        <v>47</v>
      </c>
      <c r="P210" s="4">
        <v>77.23</v>
      </c>
      <c r="Q210" s="4">
        <v>77.36</v>
      </c>
      <c r="R210" s="1">
        <v>970</v>
      </c>
      <c r="S210" s="33">
        <v>0.52</v>
      </c>
    </row>
    <row r="211" spans="1:19" x14ac:dyDescent="0.2">
      <c r="A211" s="109"/>
      <c r="B211" s="105"/>
      <c r="C211" s="29">
        <v>50</v>
      </c>
      <c r="D211" s="4">
        <v>75.31</v>
      </c>
      <c r="E211" s="4">
        <v>74.989999999999995</v>
      </c>
      <c r="F211" s="1">
        <v>1160</v>
      </c>
      <c r="G211" s="8">
        <v>0.501</v>
      </c>
      <c r="H211" s="105"/>
      <c r="I211" s="29">
        <v>50</v>
      </c>
      <c r="J211" s="4">
        <v>76.959999999999994</v>
      </c>
      <c r="K211" s="4">
        <v>76.010000000000005</v>
      </c>
      <c r="L211" s="1">
        <v>1210</v>
      </c>
      <c r="M211" s="8">
        <v>0.47499999999999998</v>
      </c>
      <c r="N211" s="105"/>
      <c r="O211" s="29">
        <v>50</v>
      </c>
      <c r="P211" s="4">
        <v>77.28</v>
      </c>
      <c r="Q211" s="4">
        <v>77.540000000000006</v>
      </c>
      <c r="R211" s="1">
        <v>938</v>
      </c>
      <c r="S211" s="8">
        <v>0.52600000000000002</v>
      </c>
    </row>
    <row r="212" spans="1:19" x14ac:dyDescent="0.2">
      <c r="A212" s="109"/>
      <c r="B212" s="105"/>
      <c r="C212" s="30">
        <v>91</v>
      </c>
      <c r="D212" s="27">
        <v>75.97</v>
      </c>
      <c r="E212" s="27">
        <v>76.010000000000005</v>
      </c>
      <c r="F212" s="26">
        <v>1055</v>
      </c>
      <c r="G212" s="32">
        <v>0.51500000000000001</v>
      </c>
      <c r="H212" s="105"/>
      <c r="I212" s="30">
        <v>91</v>
      </c>
      <c r="J212" s="27">
        <v>77.08</v>
      </c>
      <c r="K212" s="27">
        <v>77.03</v>
      </c>
      <c r="L212" s="26">
        <v>1018</v>
      </c>
      <c r="M212" s="32">
        <v>0.51200000000000001</v>
      </c>
      <c r="N212" s="105"/>
      <c r="O212" s="30">
        <v>91</v>
      </c>
      <c r="P212" s="27">
        <v>78.17</v>
      </c>
      <c r="Q212" s="27">
        <v>78.58</v>
      </c>
      <c r="R212" s="26">
        <v>857</v>
      </c>
      <c r="S212" s="32">
        <v>0.53300000000000003</v>
      </c>
    </row>
    <row r="213" spans="1:19" x14ac:dyDescent="0.2">
      <c r="A213" s="110"/>
      <c r="B213" s="105"/>
      <c r="C213" s="6" t="s">
        <v>8</v>
      </c>
      <c r="D213" s="7">
        <f>AVERAGE(D208:D212)</f>
        <v>75.203999999999994</v>
      </c>
      <c r="E213" s="7">
        <f>AVERAGE(E208:E212)</f>
        <v>75.72999999999999</v>
      </c>
      <c r="F213" s="35">
        <f>AVERAGE(F208:F212)</f>
        <v>991.2</v>
      </c>
      <c r="G213" s="34">
        <f>AVERAGE(G208:G212)</f>
        <v>0.53580000000000005</v>
      </c>
      <c r="H213" s="105"/>
      <c r="I213" s="6" t="s">
        <v>8</v>
      </c>
      <c r="J213" s="7">
        <f>AVERAGE(J208:J212)</f>
        <v>76.393999999999991</v>
      </c>
      <c r="K213" s="7">
        <f>AVERAGE(K208:K212)</f>
        <v>76.442000000000007</v>
      </c>
      <c r="L213" s="35">
        <f>AVERAGE(L208:L212)</f>
        <v>1030.8</v>
      </c>
      <c r="M213" s="34">
        <f>AVERAGE(M208:M212)</f>
        <v>0.51619999999999999</v>
      </c>
      <c r="N213" s="105"/>
      <c r="O213" s="6" t="s">
        <v>8</v>
      </c>
      <c r="P213" s="7">
        <f>AVERAGE(P208:P212)</f>
        <v>77.513999999999996</v>
      </c>
      <c r="Q213" s="7">
        <f>AVERAGE(Q208:Q212)</f>
        <v>77.683999999999997</v>
      </c>
      <c r="R213" s="35">
        <f>AVERAGE(R208:R212)</f>
        <v>946.6</v>
      </c>
      <c r="S213" s="34">
        <f>AVERAGE(S208:S212)</f>
        <v>0.52180000000000004</v>
      </c>
    </row>
    <row r="214" spans="1:19" x14ac:dyDescent="0.2">
      <c r="A214" s="119">
        <v>1.4</v>
      </c>
      <c r="B214" s="105"/>
      <c r="C214" s="28">
        <v>13</v>
      </c>
      <c r="D214" s="25">
        <v>69.849999999999994</v>
      </c>
      <c r="E214" s="25">
        <v>75.010000000000005</v>
      </c>
      <c r="F214" s="25">
        <v>335</v>
      </c>
      <c r="G214" s="31">
        <v>0.72099999999999997</v>
      </c>
      <c r="H214" s="105"/>
      <c r="I214" s="28">
        <v>13</v>
      </c>
      <c r="J214" s="25">
        <v>75.569999999999993</v>
      </c>
      <c r="K214" s="25">
        <v>76.319999999999993</v>
      </c>
      <c r="L214" s="25">
        <v>924</v>
      </c>
      <c r="M214" s="31">
        <v>0.54600000000000004</v>
      </c>
      <c r="N214" s="105"/>
      <c r="O214" s="28">
        <v>13</v>
      </c>
      <c r="P214" s="25">
        <v>77.760000000000005</v>
      </c>
      <c r="Q214" s="25">
        <v>78.08</v>
      </c>
      <c r="R214" s="25">
        <v>900</v>
      </c>
      <c r="S214" s="31">
        <v>0.52900000000000003</v>
      </c>
    </row>
    <row r="215" spans="1:19" x14ac:dyDescent="0.2">
      <c r="A215" s="109"/>
      <c r="B215" s="105"/>
      <c r="C215" s="29">
        <v>21</v>
      </c>
      <c r="D215" s="4">
        <v>67.88</v>
      </c>
      <c r="E215" s="4">
        <v>74.23</v>
      </c>
      <c r="F215" s="1">
        <v>235</v>
      </c>
      <c r="G215" s="33">
        <v>0.76</v>
      </c>
      <c r="H215" s="105"/>
      <c r="I215" s="29">
        <v>21</v>
      </c>
      <c r="J215" s="4">
        <v>76.36</v>
      </c>
      <c r="K215" s="4">
        <v>76.989999999999995</v>
      </c>
      <c r="L215" s="1">
        <v>905</v>
      </c>
      <c r="M215" s="8">
        <v>0.54200000000000004</v>
      </c>
      <c r="N215" s="105"/>
      <c r="O215" s="29">
        <v>21</v>
      </c>
      <c r="P215" s="4">
        <v>77.33</v>
      </c>
      <c r="Q215" s="4">
        <v>77.86</v>
      </c>
      <c r="R215" s="1">
        <v>875</v>
      </c>
      <c r="S215" s="8">
        <v>0.53800000000000003</v>
      </c>
    </row>
    <row r="216" spans="1:19" x14ac:dyDescent="0.2">
      <c r="A216" s="109"/>
      <c r="B216" s="105"/>
      <c r="C216" s="29">
        <v>47</v>
      </c>
      <c r="D216" s="4">
        <v>68.260000000000005</v>
      </c>
      <c r="E216" s="4">
        <v>74.42</v>
      </c>
      <c r="F216" s="1">
        <v>243</v>
      </c>
      <c r="G216" s="8">
        <v>0.755</v>
      </c>
      <c r="H216" s="105"/>
      <c r="I216" s="29">
        <v>47</v>
      </c>
      <c r="J216" s="4">
        <v>75.45</v>
      </c>
      <c r="K216" s="4">
        <v>76.11</v>
      </c>
      <c r="L216" s="1">
        <v>951</v>
      </c>
      <c r="M216" s="8">
        <v>0.54100000000000004</v>
      </c>
      <c r="N216" s="105"/>
      <c r="O216" s="29">
        <v>47</v>
      </c>
      <c r="P216" s="4">
        <v>77.39</v>
      </c>
      <c r="Q216" s="4">
        <v>77.47</v>
      </c>
      <c r="R216" s="1">
        <v>974</v>
      </c>
      <c r="S216" s="8">
        <v>0.51700000000000002</v>
      </c>
    </row>
    <row r="217" spans="1:19" x14ac:dyDescent="0.2">
      <c r="A217" s="109"/>
      <c r="B217" s="105"/>
      <c r="C217" s="29">
        <v>50</v>
      </c>
      <c r="D217" s="4">
        <v>70.88</v>
      </c>
      <c r="E217" s="4">
        <v>75.3</v>
      </c>
      <c r="F217" s="1">
        <v>423</v>
      </c>
      <c r="G217" s="8">
        <v>0.69299999999999995</v>
      </c>
      <c r="H217" s="105"/>
      <c r="I217" s="29">
        <v>50</v>
      </c>
      <c r="J217" s="4">
        <v>76.45</v>
      </c>
      <c r="K217" s="4">
        <v>77.31</v>
      </c>
      <c r="L217" s="1">
        <v>848</v>
      </c>
      <c r="M217" s="8">
        <v>0.55200000000000005</v>
      </c>
      <c r="N217" s="105"/>
      <c r="O217" s="29">
        <v>50</v>
      </c>
      <c r="P217" s="4">
        <v>77.650000000000006</v>
      </c>
      <c r="Q217" s="4">
        <v>77.91</v>
      </c>
      <c r="R217" s="1">
        <v>919</v>
      </c>
      <c r="S217" s="8">
        <v>0.52600000000000002</v>
      </c>
    </row>
    <row r="218" spans="1:19" x14ac:dyDescent="0.2">
      <c r="A218" s="109"/>
      <c r="B218" s="105"/>
      <c r="C218" s="30">
        <v>91</v>
      </c>
      <c r="D218" s="27">
        <v>68.78</v>
      </c>
      <c r="E218" s="27">
        <v>74.569999999999993</v>
      </c>
      <c r="F218" s="26">
        <v>283</v>
      </c>
      <c r="G218" s="32">
        <v>0.74199999999999999</v>
      </c>
      <c r="H218" s="105"/>
      <c r="I218" s="30">
        <v>91</v>
      </c>
      <c r="J218" s="27">
        <v>75.900000000000006</v>
      </c>
      <c r="K218" s="27">
        <v>77.069999999999993</v>
      </c>
      <c r="L218" s="26">
        <v>812</v>
      </c>
      <c r="M218" s="32">
        <v>0.56499999999999995</v>
      </c>
      <c r="N218" s="105"/>
      <c r="O218" s="30">
        <v>91</v>
      </c>
      <c r="P218" s="27">
        <v>77.72</v>
      </c>
      <c r="Q218" s="27">
        <v>77.59</v>
      </c>
      <c r="R218" s="26">
        <v>1002</v>
      </c>
      <c r="S218" s="32">
        <v>0.50800000000000001</v>
      </c>
    </row>
    <row r="219" spans="1:19" x14ac:dyDescent="0.2">
      <c r="A219" s="110"/>
      <c r="B219" s="105"/>
      <c r="C219" s="6" t="s">
        <v>8</v>
      </c>
      <c r="D219" s="7">
        <f>AVERAGE(D214:D218)</f>
        <v>69.13</v>
      </c>
      <c r="E219" s="7">
        <f>AVERAGE(E214:E218)</f>
        <v>74.706000000000003</v>
      </c>
      <c r="F219" s="35">
        <f>AVERAGE(F214:F218)</f>
        <v>303.8</v>
      </c>
      <c r="G219" s="34">
        <f>AVERAGE(G214:G218)</f>
        <v>0.73419999999999996</v>
      </c>
      <c r="H219" s="105"/>
      <c r="I219" s="6" t="s">
        <v>8</v>
      </c>
      <c r="J219" s="7">
        <f>AVERAGE(J214:J218)</f>
        <v>75.945999999999998</v>
      </c>
      <c r="K219" s="7">
        <f>AVERAGE(K214:K218)</f>
        <v>76.760000000000005</v>
      </c>
      <c r="L219" s="35">
        <f>AVERAGE(L214:L218)</f>
        <v>888</v>
      </c>
      <c r="M219" s="34">
        <f>AVERAGE(M214:M218)</f>
        <v>0.54920000000000002</v>
      </c>
      <c r="N219" s="105"/>
      <c r="O219" s="6" t="s">
        <v>8</v>
      </c>
      <c r="P219" s="7">
        <f>AVERAGE(P214:P218)</f>
        <v>77.570000000000007</v>
      </c>
      <c r="Q219" s="7">
        <f>AVERAGE(Q214:Q218)</f>
        <v>77.781999999999996</v>
      </c>
      <c r="R219" s="35">
        <f>AVERAGE(R214:R218)</f>
        <v>934</v>
      </c>
      <c r="S219" s="34">
        <f>AVERAGE(S214:S218)</f>
        <v>0.52360000000000007</v>
      </c>
    </row>
    <row r="220" spans="1:19" x14ac:dyDescent="0.2">
      <c r="A220" s="119">
        <v>1.6</v>
      </c>
      <c r="B220" s="105"/>
      <c r="C220" s="28">
        <v>13</v>
      </c>
      <c r="D220" s="25">
        <v>56.29</v>
      </c>
      <c r="E220" s="25">
        <v>68.900000000000006</v>
      </c>
      <c r="F220" s="25">
        <v>19</v>
      </c>
      <c r="G220" s="31">
        <v>0.91900000000000004</v>
      </c>
      <c r="H220" s="105"/>
      <c r="I220" s="28">
        <v>13</v>
      </c>
      <c r="J220" s="25">
        <v>70.8</v>
      </c>
      <c r="K220" s="25">
        <v>75.06</v>
      </c>
      <c r="L220" s="25">
        <v>468</v>
      </c>
      <c r="M220" s="31">
        <v>0.68500000000000005</v>
      </c>
      <c r="N220" s="105"/>
      <c r="O220" s="28">
        <v>13</v>
      </c>
      <c r="P220" s="25">
        <v>77.45</v>
      </c>
      <c r="Q220" s="25">
        <v>77.02</v>
      </c>
      <c r="R220" s="25">
        <v>1081</v>
      </c>
      <c r="S220" s="31">
        <v>0.495</v>
      </c>
    </row>
    <row r="221" spans="1:19" x14ac:dyDescent="0.2">
      <c r="A221" s="109"/>
      <c r="B221" s="105"/>
      <c r="C221" s="29">
        <v>21</v>
      </c>
      <c r="D221" s="4">
        <v>54.24</v>
      </c>
      <c r="E221" s="4">
        <v>67.97</v>
      </c>
      <c r="F221" s="1">
        <v>6</v>
      </c>
      <c r="G221" s="8">
        <v>0.94299999999999995</v>
      </c>
      <c r="H221" s="105"/>
      <c r="I221" s="29">
        <v>21</v>
      </c>
      <c r="J221" s="4">
        <v>71.540000000000006</v>
      </c>
      <c r="K221" s="4">
        <v>75.56</v>
      </c>
      <c r="L221" s="1">
        <v>461</v>
      </c>
      <c r="M221" s="8">
        <v>0.67900000000000005</v>
      </c>
      <c r="N221" s="105"/>
      <c r="O221" s="29">
        <v>21</v>
      </c>
      <c r="P221" s="4">
        <v>77.099999999999994</v>
      </c>
      <c r="Q221" s="4">
        <v>77.72</v>
      </c>
      <c r="R221" s="1">
        <v>868</v>
      </c>
      <c r="S221" s="8">
        <v>0.54200000000000004</v>
      </c>
    </row>
    <row r="222" spans="1:19" x14ac:dyDescent="0.2">
      <c r="A222" s="109"/>
      <c r="B222" s="105"/>
      <c r="C222" s="29">
        <v>47</v>
      </c>
      <c r="D222" s="4">
        <v>59.12</v>
      </c>
      <c r="E222" s="4">
        <v>70.260000000000005</v>
      </c>
      <c r="F222" s="1">
        <v>31</v>
      </c>
      <c r="G222" s="8">
        <v>0.88900000000000001</v>
      </c>
      <c r="H222" s="105"/>
      <c r="I222" s="29">
        <v>47</v>
      </c>
      <c r="J222" s="4">
        <v>73.930000000000007</v>
      </c>
      <c r="K222" s="4">
        <v>76.2</v>
      </c>
      <c r="L222" s="1">
        <v>687</v>
      </c>
      <c r="M222" s="33">
        <v>0.60899999999999999</v>
      </c>
      <c r="N222" s="105"/>
      <c r="O222" s="29">
        <v>47</v>
      </c>
      <c r="P222" s="4">
        <v>74.66</v>
      </c>
      <c r="Q222" s="4">
        <v>76.64</v>
      </c>
      <c r="R222" s="1">
        <v>704</v>
      </c>
      <c r="S222" s="8">
        <v>0.59899999999999998</v>
      </c>
    </row>
    <row r="223" spans="1:19" x14ac:dyDescent="0.2">
      <c r="A223" s="109"/>
      <c r="B223" s="105"/>
      <c r="C223" s="29">
        <v>50</v>
      </c>
      <c r="D223" s="4">
        <v>54.99</v>
      </c>
      <c r="E223" s="4">
        <v>68.31</v>
      </c>
      <c r="F223" s="1">
        <v>9</v>
      </c>
      <c r="G223" s="8">
        <v>0.93400000000000005</v>
      </c>
      <c r="H223" s="105"/>
      <c r="I223" s="29">
        <v>50</v>
      </c>
      <c r="J223" s="4">
        <v>70.64</v>
      </c>
      <c r="K223" s="4">
        <v>75.41</v>
      </c>
      <c r="L223" s="1">
        <v>358</v>
      </c>
      <c r="M223" s="8">
        <v>0.70799999999999996</v>
      </c>
      <c r="N223" s="105"/>
      <c r="O223" s="29">
        <v>50</v>
      </c>
      <c r="P223" s="4">
        <v>75.72</v>
      </c>
      <c r="Q223" s="4">
        <v>77.010000000000005</v>
      </c>
      <c r="R223" s="1">
        <v>795</v>
      </c>
      <c r="S223" s="33">
        <v>0.56999999999999995</v>
      </c>
    </row>
    <row r="224" spans="1:19" x14ac:dyDescent="0.2">
      <c r="A224" s="109"/>
      <c r="B224" s="105"/>
      <c r="C224" s="30">
        <v>91</v>
      </c>
      <c r="D224" s="27">
        <v>59.13</v>
      </c>
      <c r="E224" s="27">
        <v>70.23</v>
      </c>
      <c r="F224" s="26">
        <v>40</v>
      </c>
      <c r="G224" s="32">
        <v>0.88700000000000001</v>
      </c>
      <c r="H224" s="105"/>
      <c r="I224" s="30">
        <v>91</v>
      </c>
      <c r="J224" s="27">
        <v>71.260000000000005</v>
      </c>
      <c r="K224" s="27">
        <v>75.69</v>
      </c>
      <c r="L224" s="26">
        <v>388</v>
      </c>
      <c r="M224" s="56">
        <v>0.69599999999999995</v>
      </c>
      <c r="N224" s="105"/>
      <c r="O224" s="30">
        <v>91</v>
      </c>
      <c r="P224" s="27">
        <v>76.98</v>
      </c>
      <c r="Q224" s="27">
        <v>77.88</v>
      </c>
      <c r="R224" s="26">
        <v>808</v>
      </c>
      <c r="S224" s="32">
        <v>0.55500000000000005</v>
      </c>
    </row>
    <row r="225" spans="1:19" x14ac:dyDescent="0.2">
      <c r="A225" s="110"/>
      <c r="B225" s="105"/>
      <c r="C225" s="6" t="s">
        <v>8</v>
      </c>
      <c r="D225" s="7">
        <f>AVERAGE(D220:D224)</f>
        <v>56.754000000000005</v>
      </c>
      <c r="E225" s="7">
        <f>AVERAGE(E220:E224)</f>
        <v>69.134</v>
      </c>
      <c r="F225" s="35">
        <f>AVERAGE(F220:F224)</f>
        <v>21</v>
      </c>
      <c r="G225" s="34">
        <f>AVERAGE(G220:G224)</f>
        <v>0.91440000000000021</v>
      </c>
      <c r="H225" s="105"/>
      <c r="I225" s="6" t="s">
        <v>8</v>
      </c>
      <c r="J225" s="7">
        <f>AVERAGE(J220:J224)</f>
        <v>71.634</v>
      </c>
      <c r="K225" s="7">
        <f>AVERAGE(K220:K224)</f>
        <v>75.584000000000003</v>
      </c>
      <c r="L225" s="35">
        <f>AVERAGE(L220:L224)</f>
        <v>472.4</v>
      </c>
      <c r="M225" s="34">
        <f>AVERAGE(M220:M224)</f>
        <v>0.6754</v>
      </c>
      <c r="N225" s="105"/>
      <c r="O225" s="6" t="s">
        <v>8</v>
      </c>
      <c r="P225" s="7">
        <f>AVERAGE(P220:P224)</f>
        <v>76.382000000000005</v>
      </c>
      <c r="Q225" s="7">
        <f>AVERAGE(Q220:Q224)</f>
        <v>77.253999999999991</v>
      </c>
      <c r="R225" s="35">
        <f>AVERAGE(R220:R224)</f>
        <v>851.2</v>
      </c>
      <c r="S225" s="34">
        <f>AVERAGE(S220:S224)</f>
        <v>0.55220000000000002</v>
      </c>
    </row>
    <row r="226" spans="1:19" x14ac:dyDescent="0.2">
      <c r="A226" s="119">
        <v>1.8</v>
      </c>
      <c r="B226" s="105"/>
      <c r="C226" s="28">
        <v>13</v>
      </c>
      <c r="D226" s="25">
        <v>50.26</v>
      </c>
      <c r="E226" s="25">
        <v>66.150000000000006</v>
      </c>
      <c r="F226" s="25">
        <v>0</v>
      </c>
      <c r="G226" s="31">
        <v>0.98399999999999999</v>
      </c>
      <c r="H226" s="105"/>
      <c r="I226" s="28">
        <v>13</v>
      </c>
      <c r="J226" s="25">
        <v>66.86</v>
      </c>
      <c r="K226" s="25">
        <v>73.77</v>
      </c>
      <c r="L226" s="25">
        <v>202</v>
      </c>
      <c r="M226" s="31">
        <v>0.77700000000000002</v>
      </c>
      <c r="N226" s="105"/>
      <c r="O226" s="28">
        <v>13</v>
      </c>
      <c r="P226" s="25">
        <v>74.41</v>
      </c>
      <c r="Q226" s="25">
        <v>76.88</v>
      </c>
      <c r="R226" s="25">
        <v>607</v>
      </c>
      <c r="S226" s="31">
        <v>0.621</v>
      </c>
    </row>
    <row r="227" spans="1:19" x14ac:dyDescent="0.2">
      <c r="A227" s="109"/>
      <c r="B227" s="105"/>
      <c r="C227" s="29">
        <v>21</v>
      </c>
      <c r="D227" s="4">
        <v>49.27</v>
      </c>
      <c r="E227" s="4">
        <v>65.709999999999994</v>
      </c>
      <c r="F227" s="1">
        <v>0</v>
      </c>
      <c r="G227" s="8">
        <v>0.99299999999999999</v>
      </c>
      <c r="H227" s="105"/>
      <c r="I227" s="29">
        <v>21</v>
      </c>
      <c r="J227" s="4">
        <v>63.43</v>
      </c>
      <c r="K227" s="4">
        <v>72.23</v>
      </c>
      <c r="L227" s="1">
        <v>104</v>
      </c>
      <c r="M227" s="8">
        <v>0.83099999999999996</v>
      </c>
      <c r="N227" s="105"/>
      <c r="O227" s="29">
        <v>21</v>
      </c>
      <c r="P227" s="4">
        <v>71.97</v>
      </c>
      <c r="Q227" s="4">
        <v>76.06</v>
      </c>
      <c r="R227" s="1">
        <v>408</v>
      </c>
      <c r="S227" s="8">
        <v>0.68500000000000005</v>
      </c>
    </row>
    <row r="228" spans="1:19" x14ac:dyDescent="0.2">
      <c r="A228" s="109"/>
      <c r="B228" s="105"/>
      <c r="C228" s="29">
        <v>47</v>
      </c>
      <c r="D228" s="4">
        <v>49.3</v>
      </c>
      <c r="E228" s="4">
        <v>65.72</v>
      </c>
      <c r="F228" s="1">
        <v>0</v>
      </c>
      <c r="G228" s="8">
        <v>0.99299999999999999</v>
      </c>
      <c r="H228" s="105"/>
      <c r="I228" s="29">
        <v>47</v>
      </c>
      <c r="J228" s="4">
        <v>63.48</v>
      </c>
      <c r="K228" s="4">
        <v>72.19</v>
      </c>
      <c r="L228" s="1">
        <v>121</v>
      </c>
      <c r="M228" s="8">
        <v>0.82699999999999996</v>
      </c>
      <c r="N228" s="105"/>
      <c r="O228" s="29">
        <v>47</v>
      </c>
      <c r="P228" s="4">
        <v>68.61</v>
      </c>
      <c r="Q228" s="4">
        <v>74.680000000000007</v>
      </c>
      <c r="R228" s="1">
        <v>232</v>
      </c>
      <c r="S228" s="8">
        <v>0.754</v>
      </c>
    </row>
    <row r="229" spans="1:19" x14ac:dyDescent="0.2">
      <c r="A229" s="109"/>
      <c r="B229" s="105"/>
      <c r="C229" s="29">
        <v>50</v>
      </c>
      <c r="D229" s="4">
        <v>49.33</v>
      </c>
      <c r="E229" s="4">
        <v>65.739999999999995</v>
      </c>
      <c r="F229" s="1">
        <v>0</v>
      </c>
      <c r="G229" s="8">
        <v>0.99299999999999999</v>
      </c>
      <c r="H229" s="105"/>
      <c r="I229" s="29">
        <v>50</v>
      </c>
      <c r="J229" s="4">
        <v>63.08</v>
      </c>
      <c r="K229" s="4">
        <v>71.900000000000006</v>
      </c>
      <c r="L229" s="1">
        <v>138</v>
      </c>
      <c r="M229" s="8">
        <v>0.82799999999999996</v>
      </c>
      <c r="N229" s="105"/>
      <c r="O229" s="29">
        <v>50</v>
      </c>
      <c r="P229" s="4">
        <v>72.55</v>
      </c>
      <c r="Q229" s="4">
        <v>76.099999999999994</v>
      </c>
      <c r="R229" s="1">
        <v>491</v>
      </c>
      <c r="S229" s="8">
        <v>0.66200000000000003</v>
      </c>
    </row>
    <row r="230" spans="1:19" x14ac:dyDescent="0.2">
      <c r="A230" s="109"/>
      <c r="B230" s="105"/>
      <c r="C230" s="30">
        <v>91</v>
      </c>
      <c r="D230" s="27">
        <v>48.99</v>
      </c>
      <c r="E230" s="27">
        <v>65.59</v>
      </c>
      <c r="F230" s="26">
        <v>0</v>
      </c>
      <c r="G230" s="32">
        <v>0.996</v>
      </c>
      <c r="H230" s="105"/>
      <c r="I230" s="30">
        <v>91</v>
      </c>
      <c r="J230" s="27">
        <v>61.8</v>
      </c>
      <c r="K230" s="27">
        <v>71.52</v>
      </c>
      <c r="L230" s="26">
        <v>65</v>
      </c>
      <c r="M230" s="32">
        <v>0.85499999999999998</v>
      </c>
      <c r="N230" s="105"/>
      <c r="O230" s="30">
        <v>91</v>
      </c>
      <c r="P230" s="27">
        <v>73.55</v>
      </c>
      <c r="Q230" s="27">
        <v>76.34</v>
      </c>
      <c r="R230" s="26">
        <v>593</v>
      </c>
      <c r="S230" s="32">
        <v>0.63200000000000001</v>
      </c>
    </row>
    <row r="231" spans="1:19" x14ac:dyDescent="0.2">
      <c r="A231" s="110"/>
      <c r="B231" s="105"/>
      <c r="C231" s="6" t="s">
        <v>8</v>
      </c>
      <c r="D231" s="7">
        <f>AVERAGE(D226:D230)</f>
        <v>49.429999999999993</v>
      </c>
      <c r="E231" s="7">
        <f>AVERAGE(E226:E230)</f>
        <v>65.781999999999996</v>
      </c>
      <c r="F231" s="35">
        <f>AVERAGE(F226:F230)</f>
        <v>0</v>
      </c>
      <c r="G231" s="34">
        <f>AVERAGE(G226:G230)</f>
        <v>0.9917999999999999</v>
      </c>
      <c r="H231" s="105"/>
      <c r="I231" s="6" t="s">
        <v>8</v>
      </c>
      <c r="J231" s="7">
        <f>AVERAGE(J226:J230)</f>
        <v>63.73</v>
      </c>
      <c r="K231" s="7">
        <f>AVERAGE(K226:K230)</f>
        <v>72.322000000000003</v>
      </c>
      <c r="L231" s="35">
        <f>AVERAGE(L226:L230)</f>
        <v>126</v>
      </c>
      <c r="M231" s="34">
        <f>AVERAGE(M226:M230)</f>
        <v>0.82360000000000011</v>
      </c>
      <c r="N231" s="105"/>
      <c r="O231" s="6" t="s">
        <v>8</v>
      </c>
      <c r="P231" s="7">
        <f>AVERAGE(P226:P230)</f>
        <v>72.218000000000004</v>
      </c>
      <c r="Q231" s="7">
        <f>AVERAGE(Q226:Q230)</f>
        <v>76.012000000000015</v>
      </c>
      <c r="R231" s="35">
        <f>AVERAGE(R226:R230)</f>
        <v>466.2</v>
      </c>
      <c r="S231" s="34">
        <f>AVERAGE(S226:S230)</f>
        <v>0.67080000000000006</v>
      </c>
    </row>
    <row r="232" spans="1:19" x14ac:dyDescent="0.2">
      <c r="A232" s="119">
        <v>2</v>
      </c>
      <c r="B232" s="105"/>
      <c r="C232" s="28">
        <v>13</v>
      </c>
      <c r="D232" s="25">
        <v>48.61</v>
      </c>
      <c r="E232" s="25">
        <v>65.42</v>
      </c>
      <c r="F232" s="25">
        <v>0</v>
      </c>
      <c r="G232" s="31">
        <v>1</v>
      </c>
      <c r="H232" s="105"/>
      <c r="I232" s="28">
        <v>13</v>
      </c>
      <c r="J232" s="25">
        <v>51.99</v>
      </c>
      <c r="K232" s="25">
        <v>66.92</v>
      </c>
      <c r="L232" s="25">
        <v>4</v>
      </c>
      <c r="M232" s="31">
        <v>0.96499999999999997</v>
      </c>
      <c r="N232" s="105"/>
      <c r="O232" s="28">
        <v>13</v>
      </c>
      <c r="P232" s="25">
        <v>53.59</v>
      </c>
      <c r="Q232" s="25">
        <v>67.62</v>
      </c>
      <c r="R232" s="25">
        <v>14</v>
      </c>
      <c r="S232" s="31">
        <v>0.94699999999999995</v>
      </c>
    </row>
    <row r="233" spans="1:19" x14ac:dyDescent="0.2">
      <c r="A233" s="109"/>
      <c r="B233" s="105"/>
      <c r="C233" s="29">
        <v>21</v>
      </c>
      <c r="D233" s="4">
        <v>48.62</v>
      </c>
      <c r="E233" s="4">
        <v>65.42</v>
      </c>
      <c r="F233" s="1">
        <v>0</v>
      </c>
      <c r="G233" s="8">
        <v>0.999</v>
      </c>
      <c r="H233" s="105"/>
      <c r="I233" s="29">
        <v>21</v>
      </c>
      <c r="J233" s="4">
        <v>53.1</v>
      </c>
      <c r="K233" s="4">
        <v>67.44</v>
      </c>
      <c r="L233" s="1">
        <v>5</v>
      </c>
      <c r="M233" s="8">
        <v>0.95099999999999996</v>
      </c>
      <c r="N233" s="105"/>
      <c r="O233" s="29">
        <v>21</v>
      </c>
      <c r="P233" s="4">
        <v>52.6</v>
      </c>
      <c r="Q233" s="4">
        <v>67.14</v>
      </c>
      <c r="R233" s="1">
        <v>18</v>
      </c>
      <c r="S233" s="8">
        <v>0.95699999999999996</v>
      </c>
    </row>
    <row r="234" spans="1:19" x14ac:dyDescent="0.2">
      <c r="A234" s="109"/>
      <c r="B234" s="105"/>
      <c r="C234" s="29">
        <v>47</v>
      </c>
      <c r="D234" s="4">
        <v>48.62</v>
      </c>
      <c r="E234" s="4">
        <v>65.42</v>
      </c>
      <c r="F234" s="1">
        <v>0</v>
      </c>
      <c r="G234" s="8">
        <v>0.999</v>
      </c>
      <c r="H234" s="105"/>
      <c r="I234" s="29">
        <v>47</v>
      </c>
      <c r="J234" s="4">
        <v>51.88</v>
      </c>
      <c r="K234" s="4">
        <v>66.89</v>
      </c>
      <c r="L234" s="1">
        <v>1</v>
      </c>
      <c r="M234" s="8">
        <v>0.96699999999999997</v>
      </c>
      <c r="N234" s="105"/>
      <c r="O234" s="29">
        <v>47</v>
      </c>
      <c r="P234" s="4">
        <v>56.02</v>
      </c>
      <c r="Q234" s="4">
        <v>68.760000000000005</v>
      </c>
      <c r="R234" s="1">
        <v>21</v>
      </c>
      <c r="S234" s="8">
        <v>0.92200000000000004</v>
      </c>
    </row>
    <row r="235" spans="1:19" x14ac:dyDescent="0.2">
      <c r="A235" s="109"/>
      <c r="B235" s="105"/>
      <c r="C235" s="29">
        <v>50</v>
      </c>
      <c r="D235" s="4">
        <v>48.62</v>
      </c>
      <c r="E235" s="4">
        <v>65.42</v>
      </c>
      <c r="F235" s="1">
        <v>0</v>
      </c>
      <c r="G235" s="8">
        <v>0.999</v>
      </c>
      <c r="H235" s="105"/>
      <c r="I235" s="29">
        <v>50</v>
      </c>
      <c r="J235" s="4">
        <v>52.22</v>
      </c>
      <c r="K235" s="4">
        <v>67.040000000000006</v>
      </c>
      <c r="L235" s="1">
        <v>1</v>
      </c>
      <c r="M235" s="8">
        <v>0.96399999999999997</v>
      </c>
      <c r="N235" s="105"/>
      <c r="O235" s="29">
        <v>50</v>
      </c>
      <c r="P235" s="4">
        <v>53.19</v>
      </c>
      <c r="Q235" s="4">
        <v>67.430000000000007</v>
      </c>
      <c r="R235" s="1">
        <v>16</v>
      </c>
      <c r="S235" s="8">
        <v>0.95099999999999996</v>
      </c>
    </row>
    <row r="236" spans="1:19" x14ac:dyDescent="0.2">
      <c r="A236" s="109"/>
      <c r="B236" s="105"/>
      <c r="C236" s="30">
        <v>91</v>
      </c>
      <c r="D236" s="27">
        <v>48.62</v>
      </c>
      <c r="E236" s="27">
        <v>65.42</v>
      </c>
      <c r="F236" s="26">
        <v>0</v>
      </c>
      <c r="G236" s="32">
        <v>0.999</v>
      </c>
      <c r="H236" s="105"/>
      <c r="I236" s="30">
        <v>91</v>
      </c>
      <c r="J236" s="27">
        <v>53.99</v>
      </c>
      <c r="K236" s="27">
        <v>67.86</v>
      </c>
      <c r="L236" s="26">
        <v>4</v>
      </c>
      <c r="M236" s="32">
        <v>0.94499999999999995</v>
      </c>
      <c r="N236" s="105"/>
      <c r="O236" s="30">
        <v>91</v>
      </c>
      <c r="P236" s="27">
        <v>53.58</v>
      </c>
      <c r="Q236" s="27">
        <v>67.64</v>
      </c>
      <c r="R236" s="26">
        <v>9</v>
      </c>
      <c r="S236" s="32">
        <v>0.94899999999999995</v>
      </c>
    </row>
    <row r="237" spans="1:19" x14ac:dyDescent="0.2">
      <c r="A237" s="110"/>
      <c r="B237" s="106"/>
      <c r="C237" s="6" t="s">
        <v>8</v>
      </c>
      <c r="D237" s="7">
        <f>AVERAGE(D232:D236)</f>
        <v>48.618000000000002</v>
      </c>
      <c r="E237" s="7">
        <f>AVERAGE(E232:E236)</f>
        <v>65.42</v>
      </c>
      <c r="F237" s="35">
        <f>AVERAGE(F232:F236)</f>
        <v>0</v>
      </c>
      <c r="G237" s="34">
        <f>AVERAGE(G232:G236)</f>
        <v>0.99920000000000009</v>
      </c>
      <c r="H237" s="106"/>
      <c r="I237" s="6" t="s">
        <v>8</v>
      </c>
      <c r="J237" s="7">
        <f>AVERAGE(J232:J236)</f>
        <v>52.636000000000003</v>
      </c>
      <c r="K237" s="7">
        <f>AVERAGE(K232:K236)</f>
        <v>67.23</v>
      </c>
      <c r="L237" s="35">
        <f>AVERAGE(L232:L236)</f>
        <v>3</v>
      </c>
      <c r="M237" s="34">
        <f>AVERAGE(M232:M236)</f>
        <v>0.95839999999999992</v>
      </c>
      <c r="N237" s="106"/>
      <c r="O237" s="6" t="s">
        <v>8</v>
      </c>
      <c r="P237" s="7">
        <f>AVERAGE(P232:P236)</f>
        <v>53.796000000000006</v>
      </c>
      <c r="Q237" s="7">
        <f>AVERAGE(Q232:Q236)</f>
        <v>67.717999999999989</v>
      </c>
      <c r="R237" s="35">
        <f>AVERAGE(R232:R236)</f>
        <v>15.6</v>
      </c>
      <c r="S237" s="34">
        <f>AVERAGE(S232:S236)</f>
        <v>0.94520000000000004</v>
      </c>
    </row>
    <row r="238" spans="1:19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">
      <c r="A239" s="38" t="s">
        <v>26</v>
      </c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/>
      <c r="O239"/>
      <c r="P239"/>
      <c r="Q239"/>
      <c r="R239"/>
      <c r="S239"/>
    </row>
    <row r="240" spans="1:19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">
      <c r="A241" s="21"/>
      <c r="B241" s="107" t="s">
        <v>0</v>
      </c>
      <c r="C241" s="108"/>
      <c r="D241" s="108"/>
      <c r="E241" s="108"/>
      <c r="F241" s="108"/>
      <c r="G241" s="111"/>
      <c r="H241" s="107" t="s">
        <v>1</v>
      </c>
      <c r="I241" s="108"/>
      <c r="J241" s="108"/>
      <c r="K241" s="108"/>
      <c r="L241" s="108"/>
      <c r="M241" s="111"/>
      <c r="N241" s="107" t="s">
        <v>2</v>
      </c>
      <c r="O241" s="108"/>
      <c r="P241" s="108"/>
      <c r="Q241" s="108"/>
      <c r="R241" s="108"/>
      <c r="S241" s="111"/>
    </row>
    <row r="242" spans="1:19" x14ac:dyDescent="0.2">
      <c r="A242" s="21"/>
      <c r="B242" s="47" t="s">
        <v>3</v>
      </c>
      <c r="C242" s="39" t="s">
        <v>23</v>
      </c>
      <c r="D242" s="25" t="s">
        <v>27</v>
      </c>
      <c r="E242" s="25" t="s">
        <v>7</v>
      </c>
      <c r="F242" s="25" t="s">
        <v>24</v>
      </c>
      <c r="G242" s="31" t="s">
        <v>25</v>
      </c>
      <c r="H242" s="47" t="s">
        <v>3</v>
      </c>
      <c r="I242" s="39" t="s">
        <v>23</v>
      </c>
      <c r="J242" s="25" t="s">
        <v>27</v>
      </c>
      <c r="K242" s="25" t="s">
        <v>7</v>
      </c>
      <c r="L242" s="25" t="s">
        <v>24</v>
      </c>
      <c r="M242" s="31" t="s">
        <v>25</v>
      </c>
      <c r="N242" s="47" t="s">
        <v>3</v>
      </c>
      <c r="O242" s="39" t="s">
        <v>23</v>
      </c>
      <c r="P242" s="25" t="s">
        <v>27</v>
      </c>
      <c r="Q242" s="25" t="s">
        <v>7</v>
      </c>
      <c r="R242" s="25" t="s">
        <v>24</v>
      </c>
      <c r="S242" s="31" t="s">
        <v>25</v>
      </c>
    </row>
    <row r="243" spans="1:19" x14ac:dyDescent="0.2">
      <c r="A243" s="21"/>
      <c r="B243" s="100">
        <v>8</v>
      </c>
      <c r="C243" s="39">
        <v>1</v>
      </c>
      <c r="D243" s="40">
        <f>D167</f>
        <v>71.676000000000002</v>
      </c>
      <c r="E243" s="40">
        <f>E167</f>
        <v>71.2</v>
      </c>
      <c r="F243" s="41">
        <f>F167</f>
        <v>1358.2</v>
      </c>
      <c r="G243" s="48">
        <f>G167</f>
        <v>0.49779999999999996</v>
      </c>
      <c r="H243" s="100">
        <v>8</v>
      </c>
      <c r="I243" s="39">
        <v>1</v>
      </c>
      <c r="J243" s="40">
        <f>J167</f>
        <v>72.674000000000007</v>
      </c>
      <c r="K243" s="40">
        <f>K167</f>
        <v>72.12</v>
      </c>
      <c r="L243" s="41">
        <f>L167</f>
        <v>1319.2</v>
      </c>
      <c r="M243" s="48">
        <f>M167</f>
        <v>0.49559999999999993</v>
      </c>
      <c r="N243" s="100">
        <v>8</v>
      </c>
      <c r="O243" s="39">
        <v>1</v>
      </c>
      <c r="P243" s="40">
        <f>P167</f>
        <v>73.48599999999999</v>
      </c>
      <c r="Q243" s="40">
        <f>Q167</f>
        <v>74.16</v>
      </c>
      <c r="R243" s="41">
        <f>R167</f>
        <v>1052.4000000000001</v>
      </c>
      <c r="S243" s="48">
        <f>S167</f>
        <v>0.54100000000000004</v>
      </c>
    </row>
    <row r="244" spans="1:19" x14ac:dyDescent="0.2">
      <c r="A244" s="21"/>
      <c r="B244" s="103"/>
      <c r="C244" s="21">
        <v>1.2</v>
      </c>
      <c r="D244" s="42">
        <f>D173</f>
        <v>71.203999999999994</v>
      </c>
      <c r="E244" s="42">
        <f>E173</f>
        <v>72.051999999999992</v>
      </c>
      <c r="F244" s="43">
        <f>F173</f>
        <v>1145.5999999999999</v>
      </c>
      <c r="G244" s="49">
        <f>G173</f>
        <v>0.54500000000000015</v>
      </c>
      <c r="H244" s="103"/>
      <c r="I244" s="21">
        <v>1.2</v>
      </c>
      <c r="J244" s="42">
        <f>J173</f>
        <v>72.644000000000005</v>
      </c>
      <c r="K244" s="42">
        <f>K173</f>
        <v>72.19</v>
      </c>
      <c r="L244" s="43">
        <f>L173</f>
        <v>1303</v>
      </c>
      <c r="M244" s="49">
        <f>M173</f>
        <v>0.499</v>
      </c>
      <c r="N244" s="103"/>
      <c r="O244" s="21">
        <v>1.2</v>
      </c>
      <c r="P244" s="42">
        <f>P173</f>
        <v>74.454000000000008</v>
      </c>
      <c r="Q244" s="42">
        <f>Q173</f>
        <v>75.654000000000011</v>
      </c>
      <c r="R244" s="43">
        <f>R173</f>
        <v>891.2</v>
      </c>
      <c r="S244" s="49">
        <f>S173</f>
        <v>0.56319999999999992</v>
      </c>
    </row>
    <row r="245" spans="1:19" x14ac:dyDescent="0.2">
      <c r="A245" s="21"/>
      <c r="B245" s="103"/>
      <c r="C245" s="21">
        <v>1.4</v>
      </c>
      <c r="D245" s="42">
        <f>D179</f>
        <v>69.022000000000006</v>
      </c>
      <c r="E245" s="42">
        <f>E179</f>
        <v>73.587999999999994</v>
      </c>
      <c r="F245" s="43">
        <f>F179</f>
        <v>545.4</v>
      </c>
      <c r="G245" s="49">
        <f>G179</f>
        <v>0.68680000000000008</v>
      </c>
      <c r="H245" s="103"/>
      <c r="I245" s="21">
        <v>1.4</v>
      </c>
      <c r="J245" s="42">
        <f>J179</f>
        <v>72.193999999999988</v>
      </c>
      <c r="K245" s="42">
        <f>K179</f>
        <v>73.174000000000007</v>
      </c>
      <c r="L245" s="43">
        <f>L179</f>
        <v>1053.2</v>
      </c>
      <c r="M245" s="49">
        <f>M179</f>
        <v>0.55360000000000009</v>
      </c>
      <c r="N245" s="103"/>
      <c r="O245" s="21">
        <v>1.4</v>
      </c>
      <c r="P245" s="42">
        <f>P179</f>
        <v>74.47999999999999</v>
      </c>
      <c r="Q245" s="42">
        <f>Q179</f>
        <v>76.238</v>
      </c>
      <c r="R245" s="43">
        <f>R179</f>
        <v>763.6</v>
      </c>
      <c r="S245" s="49">
        <f>S179</f>
        <v>0.58860000000000001</v>
      </c>
    </row>
    <row r="246" spans="1:19" x14ac:dyDescent="0.2">
      <c r="A246" s="21"/>
      <c r="B246" s="103"/>
      <c r="C246" s="21">
        <v>1.6</v>
      </c>
      <c r="D246" s="42">
        <f>D185</f>
        <v>60.411999999999999</v>
      </c>
      <c r="E246" s="42">
        <f>E185</f>
        <v>68.637999999999991</v>
      </c>
      <c r="F246" s="43">
        <f>F185</f>
        <v>81</v>
      </c>
      <c r="G246" s="49">
        <f>G185</f>
        <v>0.86599999999999999</v>
      </c>
      <c r="H246" s="103"/>
      <c r="I246" s="21">
        <v>1.6</v>
      </c>
      <c r="J246" s="42">
        <f>J185</f>
        <v>70.39200000000001</v>
      </c>
      <c r="K246" s="42">
        <f>K185</f>
        <v>73.89200000000001</v>
      </c>
      <c r="L246" s="43">
        <f>L185</f>
        <v>668.8</v>
      </c>
      <c r="M246" s="49">
        <f>M185</f>
        <v>0.64839999999999998</v>
      </c>
      <c r="N246" s="103"/>
      <c r="O246" s="21">
        <v>1.6</v>
      </c>
      <c r="P246" s="42">
        <f>P185</f>
        <v>72.275999999999996</v>
      </c>
      <c r="Q246" s="42">
        <f>Q185</f>
        <v>75.614000000000004</v>
      </c>
      <c r="R246" s="43">
        <f>R185</f>
        <v>547.6</v>
      </c>
      <c r="S246" s="49">
        <f>S185</f>
        <v>0.65400000000000014</v>
      </c>
    </row>
    <row r="247" spans="1:19" x14ac:dyDescent="0.2">
      <c r="A247" s="21"/>
      <c r="B247" s="103"/>
      <c r="C247" s="21">
        <v>1.8</v>
      </c>
      <c r="D247" s="42">
        <f>D191</f>
        <v>51.370000000000005</v>
      </c>
      <c r="E247" s="42">
        <f>E191</f>
        <v>66.661999999999992</v>
      </c>
      <c r="F247" s="43">
        <f>F191</f>
        <v>0.6</v>
      </c>
      <c r="G247" s="49">
        <f>G191</f>
        <v>0.97139999999999982</v>
      </c>
      <c r="H247" s="103"/>
      <c r="I247" s="21">
        <v>1.8</v>
      </c>
      <c r="J247" s="42">
        <f>J191</f>
        <v>64.240000000000009</v>
      </c>
      <c r="K247" s="42">
        <f>K191</f>
        <v>72.364000000000004</v>
      </c>
      <c r="L247" s="43">
        <f>L191</f>
        <v>183.2</v>
      </c>
      <c r="M247" s="49">
        <f>M191</f>
        <v>0.80700000000000005</v>
      </c>
      <c r="N247" s="103"/>
      <c r="O247" s="21">
        <v>1.8</v>
      </c>
      <c r="P247" s="42">
        <f>P191</f>
        <v>67.238</v>
      </c>
      <c r="Q247" s="42">
        <f>Q191</f>
        <v>73.722000000000008</v>
      </c>
      <c r="R247" s="43">
        <f>R191</f>
        <v>267.39999999999998</v>
      </c>
      <c r="S247" s="49">
        <f>S191</f>
        <v>0.76040000000000008</v>
      </c>
    </row>
    <row r="248" spans="1:19" x14ac:dyDescent="0.2">
      <c r="A248" s="21"/>
      <c r="B248" s="101"/>
      <c r="C248" s="44">
        <v>2</v>
      </c>
      <c r="D248" s="45">
        <f>D197</f>
        <v>48.822000000000003</v>
      </c>
      <c r="E248" s="45">
        <f>E197</f>
        <v>65.513999999999996</v>
      </c>
      <c r="F248" s="46">
        <f>F197</f>
        <v>0</v>
      </c>
      <c r="G248" s="50">
        <f>G197</f>
        <v>0.99760000000000004</v>
      </c>
      <c r="H248" s="101"/>
      <c r="I248" s="44">
        <v>2</v>
      </c>
      <c r="J248" s="45">
        <f>J197</f>
        <v>52.660000000000004</v>
      </c>
      <c r="K248" s="45">
        <f>K197</f>
        <v>67.225999999999999</v>
      </c>
      <c r="L248" s="46">
        <f>L197</f>
        <v>10.6</v>
      </c>
      <c r="M248" s="50">
        <f>M197</f>
        <v>0.95740000000000003</v>
      </c>
      <c r="N248" s="101"/>
      <c r="O248" s="44">
        <v>2</v>
      </c>
      <c r="P248" s="45">
        <f>P197</f>
        <v>52.35</v>
      </c>
      <c r="Q248" s="45">
        <f>Q197</f>
        <v>67.070000000000007</v>
      </c>
      <c r="R248" s="46">
        <f>R197</f>
        <v>16.8</v>
      </c>
      <c r="S248" s="50">
        <f>S197</f>
        <v>0.95919999999999983</v>
      </c>
    </row>
    <row r="249" spans="1:19" x14ac:dyDescent="0.2">
      <c r="A249" s="21"/>
      <c r="B249" s="100">
        <v>16</v>
      </c>
      <c r="C249" s="39">
        <v>1</v>
      </c>
      <c r="D249" s="40">
        <f>D207</f>
        <v>75.583999999999989</v>
      </c>
      <c r="E249" s="40">
        <f>E207</f>
        <v>75.147999999999996</v>
      </c>
      <c r="F249" s="43">
        <f>F207</f>
        <v>1164.4000000000001</v>
      </c>
      <c r="G249" s="54">
        <f>G207</f>
        <v>0.49759999999999999</v>
      </c>
      <c r="H249" s="100">
        <v>16</v>
      </c>
      <c r="I249" s="39">
        <v>1</v>
      </c>
      <c r="J249" s="40">
        <f>J207</f>
        <v>76.78</v>
      </c>
      <c r="K249" s="40">
        <f>K207</f>
        <v>76.331999999999994</v>
      </c>
      <c r="L249" s="43">
        <f>L207</f>
        <v>1114.5999999999999</v>
      </c>
      <c r="M249" s="54">
        <f>M207</f>
        <v>0.49539999999999995</v>
      </c>
      <c r="N249" s="100">
        <v>16</v>
      </c>
      <c r="O249" s="39">
        <v>1</v>
      </c>
      <c r="P249" s="42">
        <f>P207</f>
        <v>77.828000000000003</v>
      </c>
      <c r="Q249" s="42">
        <f>Q207</f>
        <v>77.823999999999998</v>
      </c>
      <c r="R249" s="43">
        <f>R207</f>
        <v>968</v>
      </c>
      <c r="S249" s="49">
        <f>S207</f>
        <v>0.51339999999999997</v>
      </c>
    </row>
    <row r="250" spans="1:19" x14ac:dyDescent="0.2">
      <c r="A250" s="21"/>
      <c r="B250" s="103"/>
      <c r="C250" s="21">
        <v>1.2</v>
      </c>
      <c r="D250" s="42">
        <f>D213</f>
        <v>75.203999999999994</v>
      </c>
      <c r="E250" s="42">
        <f>E213</f>
        <v>75.72999999999999</v>
      </c>
      <c r="F250" s="43">
        <f>F213</f>
        <v>991.2</v>
      </c>
      <c r="G250" s="54">
        <f>G213</f>
        <v>0.53580000000000005</v>
      </c>
      <c r="H250" s="103"/>
      <c r="I250" s="21">
        <v>1.2</v>
      </c>
      <c r="J250" s="42">
        <f>J213</f>
        <v>76.393999999999991</v>
      </c>
      <c r="K250" s="42">
        <f>K213</f>
        <v>76.442000000000007</v>
      </c>
      <c r="L250" s="43">
        <f>L213</f>
        <v>1030.8</v>
      </c>
      <c r="M250" s="54">
        <f>M213</f>
        <v>0.51619999999999999</v>
      </c>
      <c r="N250" s="103"/>
      <c r="O250" s="21">
        <v>1.2</v>
      </c>
      <c r="P250" s="42">
        <f>P213</f>
        <v>77.513999999999996</v>
      </c>
      <c r="Q250" s="42">
        <f>Q213</f>
        <v>77.683999999999997</v>
      </c>
      <c r="R250" s="43">
        <f>R213</f>
        <v>946.6</v>
      </c>
      <c r="S250" s="49">
        <f>S213</f>
        <v>0.52180000000000004</v>
      </c>
    </row>
    <row r="251" spans="1:19" x14ac:dyDescent="0.2">
      <c r="A251" s="21"/>
      <c r="B251" s="103"/>
      <c r="C251" s="21">
        <v>1.4</v>
      </c>
      <c r="D251" s="42">
        <f>D219</f>
        <v>69.13</v>
      </c>
      <c r="E251" s="42">
        <f>E219</f>
        <v>74.706000000000003</v>
      </c>
      <c r="F251" s="43">
        <f>F219</f>
        <v>303.8</v>
      </c>
      <c r="G251" s="54">
        <f>G219</f>
        <v>0.73419999999999996</v>
      </c>
      <c r="H251" s="103"/>
      <c r="I251" s="21">
        <v>1.4</v>
      </c>
      <c r="J251" s="42">
        <f>J219</f>
        <v>75.945999999999998</v>
      </c>
      <c r="K251" s="42">
        <f>K219</f>
        <v>76.760000000000005</v>
      </c>
      <c r="L251" s="43">
        <f>L219</f>
        <v>888</v>
      </c>
      <c r="M251" s="54">
        <f>M219</f>
        <v>0.54920000000000002</v>
      </c>
      <c r="N251" s="103"/>
      <c r="O251" s="21">
        <v>1.4</v>
      </c>
      <c r="P251" s="42">
        <f>P219</f>
        <v>77.570000000000007</v>
      </c>
      <c r="Q251" s="42">
        <f>Q219</f>
        <v>77.781999999999996</v>
      </c>
      <c r="R251" s="43">
        <f>R219</f>
        <v>934</v>
      </c>
      <c r="S251" s="49">
        <f>S219</f>
        <v>0.52360000000000007</v>
      </c>
    </row>
    <row r="252" spans="1:19" x14ac:dyDescent="0.2">
      <c r="A252" s="21"/>
      <c r="B252" s="103"/>
      <c r="C252" s="21">
        <v>1.6</v>
      </c>
      <c r="D252" s="42">
        <f>D225</f>
        <v>56.754000000000005</v>
      </c>
      <c r="E252" s="42">
        <f>E225</f>
        <v>69.134</v>
      </c>
      <c r="F252" s="43">
        <f>F225</f>
        <v>21</v>
      </c>
      <c r="G252" s="54">
        <f>G225</f>
        <v>0.91440000000000021</v>
      </c>
      <c r="H252" s="103"/>
      <c r="I252" s="21">
        <v>1.6</v>
      </c>
      <c r="J252" s="42">
        <f>J225</f>
        <v>71.634</v>
      </c>
      <c r="K252" s="42">
        <f>K225</f>
        <v>75.584000000000003</v>
      </c>
      <c r="L252" s="43">
        <f>L225</f>
        <v>472.4</v>
      </c>
      <c r="M252" s="54">
        <f>M225</f>
        <v>0.6754</v>
      </c>
      <c r="N252" s="103"/>
      <c r="O252" s="21">
        <v>1.6</v>
      </c>
      <c r="P252" s="42">
        <f>P225</f>
        <v>76.382000000000005</v>
      </c>
      <c r="Q252" s="42">
        <f>Q225</f>
        <v>77.253999999999991</v>
      </c>
      <c r="R252" s="43">
        <f>R225</f>
        <v>851.2</v>
      </c>
      <c r="S252" s="49">
        <f>S225</f>
        <v>0.55220000000000002</v>
      </c>
    </row>
    <row r="253" spans="1:19" x14ac:dyDescent="0.2">
      <c r="A253"/>
      <c r="B253" s="103"/>
      <c r="C253" s="21">
        <v>1.8</v>
      </c>
      <c r="D253" s="42">
        <f>D231</f>
        <v>49.429999999999993</v>
      </c>
      <c r="E253" s="42">
        <f>E231</f>
        <v>65.781999999999996</v>
      </c>
      <c r="F253" s="43">
        <f>F231</f>
        <v>0</v>
      </c>
      <c r="G253" s="54">
        <f>G231</f>
        <v>0.9917999999999999</v>
      </c>
      <c r="H253" s="103"/>
      <c r="I253" s="21">
        <v>1.8</v>
      </c>
      <c r="J253" s="42">
        <f>J231</f>
        <v>63.73</v>
      </c>
      <c r="K253" s="42">
        <f>K231</f>
        <v>72.322000000000003</v>
      </c>
      <c r="L253" s="43">
        <f>L231</f>
        <v>126</v>
      </c>
      <c r="M253" s="54">
        <f>M231</f>
        <v>0.82360000000000011</v>
      </c>
      <c r="N253" s="103"/>
      <c r="O253" s="21">
        <v>1.8</v>
      </c>
      <c r="P253" s="42">
        <f>P231</f>
        <v>72.218000000000004</v>
      </c>
      <c r="Q253" s="42">
        <f>Q231</f>
        <v>76.012000000000015</v>
      </c>
      <c r="R253" s="43">
        <f>R231</f>
        <v>466.2</v>
      </c>
      <c r="S253" s="49">
        <f>S231</f>
        <v>0.67080000000000006</v>
      </c>
    </row>
    <row r="254" spans="1:19" x14ac:dyDescent="0.2">
      <c r="A254"/>
      <c r="B254" s="101"/>
      <c r="C254" s="44">
        <v>2</v>
      </c>
      <c r="D254" s="45">
        <f>D237</f>
        <v>48.618000000000002</v>
      </c>
      <c r="E254" s="45">
        <f>E237</f>
        <v>65.42</v>
      </c>
      <c r="F254" s="46">
        <f>F237</f>
        <v>0</v>
      </c>
      <c r="G254" s="55">
        <f>G237</f>
        <v>0.99920000000000009</v>
      </c>
      <c r="H254" s="101"/>
      <c r="I254" s="44">
        <v>2</v>
      </c>
      <c r="J254" s="45">
        <f>J237</f>
        <v>52.636000000000003</v>
      </c>
      <c r="K254" s="45">
        <f>K237</f>
        <v>67.23</v>
      </c>
      <c r="L254" s="46">
        <f>L237</f>
        <v>3</v>
      </c>
      <c r="M254" s="55">
        <f>M237</f>
        <v>0.95839999999999992</v>
      </c>
      <c r="N254" s="101"/>
      <c r="O254" s="44">
        <v>2</v>
      </c>
      <c r="P254" s="45">
        <f>P237</f>
        <v>53.796000000000006</v>
      </c>
      <c r="Q254" s="45">
        <f>Q237</f>
        <v>67.717999999999989</v>
      </c>
      <c r="R254" s="46">
        <f>R237</f>
        <v>15.6</v>
      </c>
      <c r="S254" s="50">
        <f>S237</f>
        <v>0.94520000000000004</v>
      </c>
    </row>
    <row r="256" spans="1:19" x14ac:dyDescent="0.2">
      <c r="F256" s="1">
        <f>(F243-F245)/F243</f>
        <v>0.5984391105875424</v>
      </c>
      <c r="G256" s="1">
        <f>(F249-F251)/F249</f>
        <v>0.73909309515630373</v>
      </c>
    </row>
    <row r="257" spans="1:19" x14ac:dyDescent="0.2">
      <c r="A257" s="120" t="s">
        <v>23</v>
      </c>
      <c r="B257" s="107" t="s">
        <v>15</v>
      </c>
      <c r="C257" s="108"/>
      <c r="D257" s="108"/>
      <c r="E257" s="108"/>
      <c r="F257" s="108"/>
      <c r="G257" s="111"/>
      <c r="H257" s="107" t="s">
        <v>16</v>
      </c>
      <c r="I257" s="108"/>
      <c r="J257" s="108"/>
      <c r="K257" s="108"/>
      <c r="L257" s="108"/>
      <c r="M257" s="111"/>
      <c r="N257" s="107" t="s">
        <v>17</v>
      </c>
      <c r="O257" s="108"/>
      <c r="P257" s="108"/>
      <c r="Q257" s="108"/>
      <c r="R257" s="108"/>
      <c r="S257" s="111"/>
    </row>
    <row r="258" spans="1:19" x14ac:dyDescent="0.2">
      <c r="A258" s="121"/>
      <c r="B258" s="19" t="s">
        <v>3</v>
      </c>
      <c r="C258" s="1" t="s">
        <v>4</v>
      </c>
      <c r="D258" s="1" t="s">
        <v>6</v>
      </c>
      <c r="E258" s="2" t="s">
        <v>7</v>
      </c>
      <c r="F258" s="1" t="s">
        <v>24</v>
      </c>
      <c r="G258" s="8" t="s">
        <v>25</v>
      </c>
      <c r="H258" s="19" t="s">
        <v>3</v>
      </c>
      <c r="I258" s="1" t="s">
        <v>4</v>
      </c>
      <c r="J258" s="1" t="s">
        <v>6</v>
      </c>
      <c r="K258" s="2" t="s">
        <v>7</v>
      </c>
      <c r="L258" s="1" t="s">
        <v>24</v>
      </c>
      <c r="M258" s="8" t="s">
        <v>25</v>
      </c>
      <c r="N258" s="19" t="s">
        <v>3</v>
      </c>
      <c r="O258" s="1" t="s">
        <v>4</v>
      </c>
      <c r="P258" s="1" t="s">
        <v>6</v>
      </c>
      <c r="Q258" s="2" t="s">
        <v>7</v>
      </c>
      <c r="R258" s="1" t="s">
        <v>24</v>
      </c>
      <c r="S258" s="8" t="s">
        <v>25</v>
      </c>
    </row>
    <row r="259" spans="1:19" x14ac:dyDescent="0.2">
      <c r="A259" s="122">
        <v>1</v>
      </c>
      <c r="B259" s="104">
        <v>8</v>
      </c>
      <c r="C259" s="28">
        <v>13</v>
      </c>
      <c r="D259" s="25">
        <v>72.739999999999995</v>
      </c>
      <c r="E259" s="1">
        <v>70.540000000000006</v>
      </c>
      <c r="F259" s="25">
        <v>1389</v>
      </c>
      <c r="G259" s="36">
        <v>0.42499999999999999</v>
      </c>
      <c r="H259" s="104">
        <v>8</v>
      </c>
      <c r="I259" s="28">
        <v>13</v>
      </c>
      <c r="J259" s="25">
        <v>76.069999999999993</v>
      </c>
      <c r="K259" s="4">
        <v>75.31</v>
      </c>
      <c r="L259" s="25">
        <v>1079</v>
      </c>
      <c r="M259" s="36">
        <v>0.47</v>
      </c>
      <c r="N259" s="104">
        <v>8</v>
      </c>
      <c r="O259" s="28">
        <v>13</v>
      </c>
      <c r="P259" s="25">
        <v>76.78</v>
      </c>
      <c r="Q259" s="1">
        <v>76.52</v>
      </c>
      <c r="R259" s="25">
        <v>973</v>
      </c>
      <c r="S259" s="31">
        <v>0.48899999999999999</v>
      </c>
    </row>
    <row r="260" spans="1:19" x14ac:dyDescent="0.2">
      <c r="A260" s="123"/>
      <c r="B260" s="105"/>
      <c r="C260" s="29">
        <v>21</v>
      </c>
      <c r="D260" s="4">
        <v>72.81</v>
      </c>
      <c r="E260" s="4">
        <v>71.92</v>
      </c>
      <c r="F260" s="1">
        <v>1214</v>
      </c>
      <c r="G260" s="8">
        <v>0.46800000000000003</v>
      </c>
      <c r="H260" s="105"/>
      <c r="I260" s="29">
        <v>21</v>
      </c>
      <c r="J260" s="4">
        <v>76.040000000000006</v>
      </c>
      <c r="K260" s="4">
        <v>75.31</v>
      </c>
      <c r="L260" s="1">
        <v>1077</v>
      </c>
      <c r="M260" s="36">
        <v>0.47</v>
      </c>
      <c r="N260" s="105"/>
      <c r="O260" s="29">
        <v>21</v>
      </c>
      <c r="P260" s="4">
        <v>77.19</v>
      </c>
      <c r="Q260" s="4">
        <v>76.42</v>
      </c>
      <c r="R260" s="1">
        <v>1043</v>
      </c>
      <c r="S260" s="8">
        <v>0.46700000000000003</v>
      </c>
    </row>
    <row r="261" spans="1:19" x14ac:dyDescent="0.2">
      <c r="A261" s="123"/>
      <c r="B261" s="105"/>
      <c r="C261" s="29">
        <v>47</v>
      </c>
      <c r="D261" s="4">
        <v>73.06</v>
      </c>
      <c r="E261" s="4">
        <v>71.97</v>
      </c>
      <c r="F261" s="1">
        <v>1234</v>
      </c>
      <c r="G261" s="8">
        <v>0.46100000000000002</v>
      </c>
      <c r="H261" s="105"/>
      <c r="I261" s="29">
        <v>47</v>
      </c>
      <c r="J261" s="4">
        <v>75.760000000000005</v>
      </c>
      <c r="K261" s="4">
        <v>74.27</v>
      </c>
      <c r="L261" s="1">
        <v>1202</v>
      </c>
      <c r="M261" s="8">
        <v>0.442</v>
      </c>
      <c r="N261" s="105"/>
      <c r="O261" s="29">
        <v>47</v>
      </c>
      <c r="P261" s="4">
        <v>77.31</v>
      </c>
      <c r="Q261" s="4">
        <v>76.760000000000005</v>
      </c>
      <c r="R261" s="1">
        <v>1003</v>
      </c>
      <c r="S261" s="8">
        <v>0.47599999999999998</v>
      </c>
    </row>
    <row r="262" spans="1:19" x14ac:dyDescent="0.2">
      <c r="A262" s="123"/>
      <c r="B262" s="105"/>
      <c r="C262" s="29">
        <v>50</v>
      </c>
      <c r="D262" s="4">
        <v>72.790000000000006</v>
      </c>
      <c r="E262" s="4">
        <v>71.69</v>
      </c>
      <c r="F262" s="1">
        <v>1244</v>
      </c>
      <c r="G262" s="8">
        <v>0.46100000000000002</v>
      </c>
      <c r="H262" s="105"/>
      <c r="I262" s="29">
        <v>50</v>
      </c>
      <c r="J262" s="4">
        <v>75.900000000000006</v>
      </c>
      <c r="K262" s="4">
        <v>75.239999999999995</v>
      </c>
      <c r="L262" s="1">
        <v>1071</v>
      </c>
      <c r="M262" s="33">
        <v>0.47299999999999998</v>
      </c>
      <c r="N262" s="105"/>
      <c r="O262" s="29">
        <v>50</v>
      </c>
      <c r="P262" s="4">
        <v>76.69</v>
      </c>
      <c r="Q262" s="4">
        <v>75.67</v>
      </c>
      <c r="R262" s="1">
        <v>1100</v>
      </c>
      <c r="S262" s="8">
        <v>0.45800000000000002</v>
      </c>
    </row>
    <row r="263" spans="1:19" x14ac:dyDescent="0.2">
      <c r="A263" s="123"/>
      <c r="B263" s="105"/>
      <c r="C263" s="30">
        <v>91</v>
      </c>
      <c r="D263" s="27">
        <v>72.47</v>
      </c>
      <c r="E263" s="27">
        <v>70.69</v>
      </c>
      <c r="F263" s="26">
        <v>1345</v>
      </c>
      <c r="G263" s="32">
        <v>0.439</v>
      </c>
      <c r="H263" s="105"/>
      <c r="I263" s="30">
        <v>91</v>
      </c>
      <c r="J263" s="27">
        <v>76.010000000000005</v>
      </c>
      <c r="K263" s="27">
        <v>75.510000000000005</v>
      </c>
      <c r="L263" s="26">
        <v>1042</v>
      </c>
      <c r="M263" s="32">
        <v>0.47899999999999998</v>
      </c>
      <c r="N263" s="105"/>
      <c r="O263" s="30">
        <v>91</v>
      </c>
      <c r="P263" s="27">
        <v>75.81</v>
      </c>
      <c r="Q263" s="27">
        <v>75.739999999999995</v>
      </c>
      <c r="R263" s="26">
        <v>980</v>
      </c>
      <c r="S263" s="32">
        <v>0.497</v>
      </c>
    </row>
    <row r="264" spans="1:19" x14ac:dyDescent="0.2">
      <c r="A264" s="121"/>
      <c r="B264" s="105"/>
      <c r="C264" s="6" t="s">
        <v>8</v>
      </c>
      <c r="D264" s="7">
        <f>AVERAGE(D259:D263)</f>
        <v>72.774000000000001</v>
      </c>
      <c r="E264" s="7">
        <f>AVERAGE(E259:E263)</f>
        <v>71.361999999999995</v>
      </c>
      <c r="F264" s="35">
        <f>AVERAGE(F259:F263)</f>
        <v>1285.2</v>
      </c>
      <c r="G264" s="34">
        <f>AVERAGE(G259:G263)</f>
        <v>0.45079999999999998</v>
      </c>
      <c r="H264" s="105"/>
      <c r="I264" s="6" t="s">
        <v>8</v>
      </c>
      <c r="J264" s="7">
        <f>AVERAGE(J259:J263)</f>
        <v>75.955999999999989</v>
      </c>
      <c r="K264" s="7">
        <f>AVERAGE(K259:K263)</f>
        <v>75.128</v>
      </c>
      <c r="L264" s="35">
        <f>AVERAGE(L259:L263)</f>
        <v>1094.2</v>
      </c>
      <c r="M264" s="34">
        <f>AVERAGE(M259:M263)</f>
        <v>0.46679999999999999</v>
      </c>
      <c r="N264" s="105"/>
      <c r="O264" s="6" t="s">
        <v>8</v>
      </c>
      <c r="P264" s="7">
        <f>AVERAGE(P259:P263)</f>
        <v>76.756</v>
      </c>
      <c r="Q264" s="7">
        <f>AVERAGE(Q259:Q263)</f>
        <v>76.222000000000008</v>
      </c>
      <c r="R264" s="35">
        <f>AVERAGE(R259:R263)</f>
        <v>1019.8</v>
      </c>
      <c r="S264" s="34">
        <f>AVERAGE(S259:S263)</f>
        <v>0.47739999999999999</v>
      </c>
    </row>
    <row r="265" spans="1:19" x14ac:dyDescent="0.2">
      <c r="A265" s="119">
        <v>1.2</v>
      </c>
      <c r="B265" s="105"/>
      <c r="C265" s="28">
        <v>13</v>
      </c>
      <c r="D265" s="25">
        <v>72.959999999999994</v>
      </c>
      <c r="E265" s="25">
        <v>71.13</v>
      </c>
      <c r="F265" s="25">
        <v>1336</v>
      </c>
      <c r="G265" s="31">
        <v>0.436</v>
      </c>
      <c r="H265" s="105"/>
      <c r="I265" s="28">
        <v>13</v>
      </c>
      <c r="J265" s="25">
        <v>76.05</v>
      </c>
      <c r="K265" s="25">
        <v>75.150000000000006</v>
      </c>
      <c r="L265" s="25">
        <v>1099</v>
      </c>
      <c r="M265" s="31">
        <v>0.46500000000000002</v>
      </c>
      <c r="N265" s="105"/>
      <c r="O265" s="28">
        <v>13</v>
      </c>
      <c r="P265" s="51">
        <v>77.099999999999994</v>
      </c>
      <c r="Q265" s="25">
        <v>76.040000000000006</v>
      </c>
      <c r="R265" s="25">
        <v>1093</v>
      </c>
      <c r="S265" s="31">
        <v>0.45600000000000002</v>
      </c>
    </row>
    <row r="266" spans="1:19" x14ac:dyDescent="0.2">
      <c r="A266" s="109"/>
      <c r="B266" s="105"/>
      <c r="C266" s="29">
        <v>21</v>
      </c>
      <c r="D266" s="4">
        <v>72.260000000000005</v>
      </c>
      <c r="E266" s="4">
        <v>72.790000000000006</v>
      </c>
      <c r="F266" s="1">
        <v>1032</v>
      </c>
      <c r="G266" s="33">
        <v>0.51900000000000002</v>
      </c>
      <c r="H266" s="105"/>
      <c r="I266" s="29">
        <v>21</v>
      </c>
      <c r="J266" s="4">
        <v>76.02</v>
      </c>
      <c r="K266" s="4">
        <v>75.489999999999995</v>
      </c>
      <c r="L266" s="1">
        <v>1046</v>
      </c>
      <c r="M266" s="8">
        <v>0.47799999999999998</v>
      </c>
      <c r="N266" s="105"/>
      <c r="O266" s="29">
        <v>21</v>
      </c>
      <c r="P266" s="4">
        <v>77.08</v>
      </c>
      <c r="Q266" s="4">
        <v>76.83</v>
      </c>
      <c r="R266" s="1">
        <v>959</v>
      </c>
      <c r="S266" s="33">
        <v>0.49</v>
      </c>
    </row>
    <row r="267" spans="1:19" x14ac:dyDescent="0.2">
      <c r="A267" s="109"/>
      <c r="B267" s="105"/>
      <c r="C267" s="29">
        <v>47</v>
      </c>
      <c r="D267" s="4">
        <v>72.89</v>
      </c>
      <c r="E267" s="4">
        <v>73.13</v>
      </c>
      <c r="F267" s="1">
        <v>1048</v>
      </c>
      <c r="G267" s="8">
        <v>0.50900000000000001</v>
      </c>
      <c r="H267" s="105"/>
      <c r="I267" s="29">
        <v>47</v>
      </c>
      <c r="J267" s="4">
        <v>75.709999999999994</v>
      </c>
      <c r="K267" s="4">
        <v>75.260000000000005</v>
      </c>
      <c r="L267" s="1">
        <v>1045</v>
      </c>
      <c r="M267" s="8">
        <v>0.48199999999999998</v>
      </c>
      <c r="N267" s="105"/>
      <c r="O267" s="29">
        <v>47</v>
      </c>
      <c r="P267" s="4">
        <v>77.28</v>
      </c>
      <c r="Q267" s="4">
        <v>76.95</v>
      </c>
      <c r="R267" s="1">
        <v>965</v>
      </c>
      <c r="S267" s="8">
        <v>0.48599999999999999</v>
      </c>
    </row>
    <row r="268" spans="1:19" x14ac:dyDescent="0.2">
      <c r="A268" s="109"/>
      <c r="B268" s="105"/>
      <c r="C268" s="29">
        <v>50</v>
      </c>
      <c r="D268" s="4">
        <v>72.69</v>
      </c>
      <c r="E268" s="4">
        <v>72.89</v>
      </c>
      <c r="F268" s="1">
        <v>1063</v>
      </c>
      <c r="G268" s="8">
        <v>0.50700000000000001</v>
      </c>
      <c r="H268" s="105"/>
      <c r="I268" s="29">
        <v>50</v>
      </c>
      <c r="J268" s="4">
        <v>76.14</v>
      </c>
      <c r="K268" s="4">
        <v>75.790000000000006</v>
      </c>
      <c r="L268" s="1">
        <v>1012</v>
      </c>
      <c r="M268" s="33">
        <v>0.48599999999999999</v>
      </c>
      <c r="N268" s="105"/>
      <c r="O268" s="29">
        <v>50</v>
      </c>
      <c r="P268" s="4">
        <v>77.34</v>
      </c>
      <c r="Q268" s="4">
        <v>76.5</v>
      </c>
      <c r="R268" s="1">
        <v>1049</v>
      </c>
      <c r="S268" s="8">
        <v>0.46400000000000002</v>
      </c>
    </row>
    <row r="269" spans="1:19" x14ac:dyDescent="0.2">
      <c r="A269" s="109"/>
      <c r="B269" s="105"/>
      <c r="C269" s="30">
        <v>91</v>
      </c>
      <c r="D269" s="27">
        <v>72.94</v>
      </c>
      <c r="E269" s="27">
        <v>71.92</v>
      </c>
      <c r="F269" s="26">
        <v>1337</v>
      </c>
      <c r="G269" s="32">
        <v>0.46400000000000002</v>
      </c>
      <c r="H269" s="105"/>
      <c r="I269" s="30">
        <v>91</v>
      </c>
      <c r="J269" s="27">
        <v>75.98</v>
      </c>
      <c r="K269" s="27">
        <v>75.36</v>
      </c>
      <c r="L269" s="26">
        <v>1061</v>
      </c>
      <c r="M269" s="32">
        <v>0.47499999999999998</v>
      </c>
      <c r="N269" s="105"/>
      <c r="O269" s="30">
        <v>91</v>
      </c>
      <c r="P269" s="27">
        <v>76.78</v>
      </c>
      <c r="Q269" s="27">
        <v>76.19</v>
      </c>
      <c r="R269" s="26">
        <v>1027</v>
      </c>
      <c r="S269" s="32">
        <v>0.47599999999999998</v>
      </c>
    </row>
    <row r="270" spans="1:19" x14ac:dyDescent="0.2">
      <c r="A270" s="110"/>
      <c r="B270" s="105"/>
      <c r="C270" s="6" t="s">
        <v>8</v>
      </c>
      <c r="D270" s="7">
        <f>AVERAGE(D265:D269)</f>
        <v>72.748000000000005</v>
      </c>
      <c r="E270" s="7">
        <f>AVERAGE(E265:E269)</f>
        <v>72.372</v>
      </c>
      <c r="F270" s="35">
        <f>AVERAGE(F265:F269)</f>
        <v>1163.2</v>
      </c>
      <c r="G270" s="34">
        <f>AVERAGE(G265:G269)</f>
        <v>0.48699999999999999</v>
      </c>
      <c r="H270" s="105"/>
      <c r="I270" s="6" t="s">
        <v>8</v>
      </c>
      <c r="J270" s="7">
        <f>AVERAGE(J265:J269)</f>
        <v>75.97999999999999</v>
      </c>
      <c r="K270" s="7">
        <f>AVERAGE(K265:K269)</f>
        <v>75.41</v>
      </c>
      <c r="L270" s="35">
        <f>AVERAGE(L265:L269)</f>
        <v>1052.5999999999999</v>
      </c>
      <c r="M270" s="34">
        <f>AVERAGE(M265:M269)</f>
        <v>0.47720000000000001</v>
      </c>
      <c r="N270" s="105"/>
      <c r="O270" s="6" t="s">
        <v>8</v>
      </c>
      <c r="P270" s="7">
        <f>AVERAGE(P265:P269)</f>
        <v>77.116000000000014</v>
      </c>
      <c r="Q270" s="7">
        <f>AVERAGE(Q265:Q269)</f>
        <v>76.501999999999995</v>
      </c>
      <c r="R270" s="35">
        <f>AVERAGE(R265:R269)</f>
        <v>1018.6</v>
      </c>
      <c r="S270" s="34">
        <f>AVERAGE(S265:S269)</f>
        <v>0.47439999999999999</v>
      </c>
    </row>
    <row r="271" spans="1:19" x14ac:dyDescent="0.2">
      <c r="A271" s="119">
        <v>1.4</v>
      </c>
      <c r="B271" s="105"/>
      <c r="C271" s="28">
        <v>13</v>
      </c>
      <c r="D271" s="51">
        <v>67.400000000000006</v>
      </c>
      <c r="E271" s="25">
        <v>72.650000000000006</v>
      </c>
      <c r="F271" s="25">
        <v>536</v>
      </c>
      <c r="G271" s="31">
        <v>0.69199999999999995</v>
      </c>
      <c r="H271" s="105"/>
      <c r="I271" s="28">
        <v>13</v>
      </c>
      <c r="J271" s="51">
        <v>74.73</v>
      </c>
      <c r="K271" s="25">
        <v>75.569999999999993</v>
      </c>
      <c r="L271" s="25">
        <v>873</v>
      </c>
      <c r="M271" s="36">
        <v>0.53500000000000003</v>
      </c>
      <c r="N271" s="105"/>
      <c r="O271" s="28">
        <v>13</v>
      </c>
      <c r="P271" s="51">
        <v>76.73</v>
      </c>
      <c r="Q271" s="25">
        <v>76.2</v>
      </c>
      <c r="R271" s="25">
        <v>1019</v>
      </c>
      <c r="S271" s="31">
        <v>0.47799999999999998</v>
      </c>
    </row>
    <row r="272" spans="1:19" x14ac:dyDescent="0.2">
      <c r="A272" s="109"/>
      <c r="B272" s="105"/>
      <c r="C272" s="29">
        <v>21</v>
      </c>
      <c r="D272" s="4">
        <v>66.73</v>
      </c>
      <c r="E272" s="4">
        <v>71.900000000000006</v>
      </c>
      <c r="F272" s="1">
        <v>595</v>
      </c>
      <c r="G272" s="33">
        <v>0.68400000000000005</v>
      </c>
      <c r="H272" s="105"/>
      <c r="I272" s="29">
        <v>21</v>
      </c>
      <c r="J272" s="4">
        <v>75.25</v>
      </c>
      <c r="K272" s="4">
        <v>75.3</v>
      </c>
      <c r="L272" s="1">
        <v>982</v>
      </c>
      <c r="M272" s="8">
        <v>0.502</v>
      </c>
      <c r="N272" s="105"/>
      <c r="O272" s="29">
        <v>21</v>
      </c>
      <c r="P272" s="4">
        <v>76.88</v>
      </c>
      <c r="Q272" s="4">
        <v>76.2</v>
      </c>
      <c r="R272" s="1">
        <v>846</v>
      </c>
      <c r="S272" s="8">
        <v>0.52500000000000002</v>
      </c>
    </row>
    <row r="273" spans="1:19" x14ac:dyDescent="0.2">
      <c r="A273" s="109"/>
      <c r="B273" s="105"/>
      <c r="C273" s="29">
        <v>47</v>
      </c>
      <c r="D273" s="4">
        <v>67.209999999999994</v>
      </c>
      <c r="E273" s="4">
        <v>72.5</v>
      </c>
      <c r="F273" s="1">
        <v>542</v>
      </c>
      <c r="G273" s="8">
        <v>0.69199999999999995</v>
      </c>
      <c r="H273" s="105"/>
      <c r="I273" s="29">
        <v>47</v>
      </c>
      <c r="J273" s="4">
        <v>75.02</v>
      </c>
      <c r="K273" s="4">
        <v>74.17</v>
      </c>
      <c r="L273" s="1">
        <v>1131</v>
      </c>
      <c r="M273" s="8">
        <v>0.46700000000000003</v>
      </c>
      <c r="N273" s="105"/>
      <c r="O273" s="29">
        <v>47</v>
      </c>
      <c r="P273" s="4">
        <v>76.989999999999995</v>
      </c>
      <c r="Q273" s="4">
        <v>77.08</v>
      </c>
      <c r="R273" s="1">
        <v>904</v>
      </c>
      <c r="S273" s="8">
        <v>0.504</v>
      </c>
    </row>
    <row r="274" spans="1:19" x14ac:dyDescent="0.2">
      <c r="A274" s="109"/>
      <c r="B274" s="105"/>
      <c r="C274" s="29">
        <v>50</v>
      </c>
      <c r="D274" s="4">
        <v>66.989999999999995</v>
      </c>
      <c r="E274" s="4">
        <v>72.37</v>
      </c>
      <c r="F274" s="1">
        <v>542</v>
      </c>
      <c r="G274" s="8">
        <v>0.69499999999999995</v>
      </c>
      <c r="H274" s="105"/>
      <c r="I274" s="29">
        <v>50</v>
      </c>
      <c r="J274" s="4">
        <v>75.510000000000005</v>
      </c>
      <c r="K274" s="4">
        <v>75.19</v>
      </c>
      <c r="L274" s="1">
        <v>1031</v>
      </c>
      <c r="M274" s="8">
        <v>0.48699999999999999</v>
      </c>
      <c r="N274" s="105"/>
      <c r="O274" s="29">
        <v>50</v>
      </c>
      <c r="P274" s="4">
        <v>76.3</v>
      </c>
      <c r="Q274" s="4">
        <v>75.92</v>
      </c>
      <c r="R274" s="1">
        <v>1011</v>
      </c>
      <c r="S274" s="8">
        <v>0.48399999999999999</v>
      </c>
    </row>
    <row r="275" spans="1:19" x14ac:dyDescent="0.2">
      <c r="A275" s="109"/>
      <c r="B275" s="105"/>
      <c r="C275" s="30">
        <v>91</v>
      </c>
      <c r="D275" s="27">
        <v>70.06</v>
      </c>
      <c r="E275" s="27">
        <v>73.209999999999994</v>
      </c>
      <c r="F275" s="26">
        <v>728</v>
      </c>
      <c r="G275" s="32">
        <v>0.61699999999999999</v>
      </c>
      <c r="H275" s="105"/>
      <c r="I275" s="30">
        <v>91</v>
      </c>
      <c r="J275" s="27">
        <v>75.290000000000006</v>
      </c>
      <c r="K275" s="27">
        <v>75.33</v>
      </c>
      <c r="L275" s="26">
        <v>982</v>
      </c>
      <c r="M275" s="32">
        <v>0.502</v>
      </c>
      <c r="N275" s="105"/>
      <c r="O275" s="30">
        <v>91</v>
      </c>
      <c r="P275" s="27">
        <v>77.040000000000006</v>
      </c>
      <c r="Q275" s="27">
        <v>76.83</v>
      </c>
      <c r="R275" s="26">
        <v>953</v>
      </c>
      <c r="S275" s="32">
        <v>0.49099999999999999</v>
      </c>
    </row>
    <row r="276" spans="1:19" x14ac:dyDescent="0.2">
      <c r="A276" s="110"/>
      <c r="B276" s="105"/>
      <c r="C276" s="6" t="s">
        <v>8</v>
      </c>
      <c r="D276" s="7">
        <f>AVERAGE(D271:D275)</f>
        <v>67.677999999999997</v>
      </c>
      <c r="E276" s="7">
        <f>AVERAGE(E271:E275)</f>
        <v>72.525999999999996</v>
      </c>
      <c r="F276" s="35">
        <f>AVERAGE(F271:F275)</f>
        <v>588.6</v>
      </c>
      <c r="G276" s="34">
        <f>AVERAGE(G271:G275)</f>
        <v>0.67599999999999993</v>
      </c>
      <c r="H276" s="105"/>
      <c r="I276" s="6" t="s">
        <v>8</v>
      </c>
      <c r="J276" s="7">
        <f>AVERAGE(J271:J275)</f>
        <v>75.16</v>
      </c>
      <c r="K276" s="7">
        <f>AVERAGE(K271:K275)</f>
        <v>75.111999999999995</v>
      </c>
      <c r="L276" s="35">
        <f>AVERAGE(L271:L275)</f>
        <v>999.8</v>
      </c>
      <c r="M276" s="34">
        <f>AVERAGE(M271:M275)</f>
        <v>0.49860000000000004</v>
      </c>
      <c r="N276" s="105"/>
      <c r="O276" s="6" t="s">
        <v>8</v>
      </c>
      <c r="P276" s="7">
        <f>AVERAGE(P271:P275)</f>
        <v>76.788000000000011</v>
      </c>
      <c r="Q276" s="7">
        <f>AVERAGE(Q271:Q275)</f>
        <v>76.445999999999998</v>
      </c>
      <c r="R276" s="35">
        <f>AVERAGE(R271:R275)</f>
        <v>946.6</v>
      </c>
      <c r="S276" s="34">
        <f>AVERAGE(S271:S275)</f>
        <v>0.49640000000000006</v>
      </c>
    </row>
    <row r="277" spans="1:19" x14ac:dyDescent="0.2">
      <c r="A277" s="119">
        <v>1.6</v>
      </c>
      <c r="B277" s="105"/>
      <c r="C277" s="28">
        <v>13</v>
      </c>
      <c r="D277" s="25">
        <v>58.41</v>
      </c>
      <c r="E277" s="25">
        <v>69.59</v>
      </c>
      <c r="F277" s="37">
        <v>193</v>
      </c>
      <c r="G277" s="31">
        <v>0.86799999999999999</v>
      </c>
      <c r="H277" s="105"/>
      <c r="I277" s="28">
        <v>13</v>
      </c>
      <c r="J277" s="25">
        <v>73.52</v>
      </c>
      <c r="K277" s="25">
        <v>75.17</v>
      </c>
      <c r="L277" s="25">
        <v>794</v>
      </c>
      <c r="M277" s="31">
        <v>0.56599999999999995</v>
      </c>
      <c r="N277" s="105"/>
      <c r="O277" s="28">
        <v>13</v>
      </c>
      <c r="P277" s="25">
        <v>76.209999999999994</v>
      </c>
      <c r="Q277" s="51">
        <v>76.5</v>
      </c>
      <c r="R277" s="25">
        <v>903</v>
      </c>
      <c r="S277" s="31">
        <v>0.51200000000000001</v>
      </c>
    </row>
    <row r="278" spans="1:19" x14ac:dyDescent="0.2">
      <c r="A278" s="109"/>
      <c r="B278" s="105"/>
      <c r="C278" s="29">
        <v>21</v>
      </c>
      <c r="D278" s="4">
        <v>58.06</v>
      </c>
      <c r="E278" s="4">
        <v>69.400000000000006</v>
      </c>
      <c r="F278" s="1">
        <v>195</v>
      </c>
      <c r="G278" s="33">
        <v>0.871</v>
      </c>
      <c r="H278" s="105"/>
      <c r="I278" s="29">
        <v>21</v>
      </c>
      <c r="J278" s="4">
        <v>73.7</v>
      </c>
      <c r="K278" s="4">
        <v>75.680000000000007</v>
      </c>
      <c r="L278" s="1">
        <v>726</v>
      </c>
      <c r="M278" s="8">
        <v>0.58199999999999996</v>
      </c>
      <c r="N278" s="105"/>
      <c r="O278" s="29">
        <v>21</v>
      </c>
      <c r="P278" s="4">
        <v>76.69</v>
      </c>
      <c r="Q278" s="4">
        <v>77.09</v>
      </c>
      <c r="R278" s="1">
        <v>862</v>
      </c>
      <c r="S278" s="8">
        <v>0.51800000000000002</v>
      </c>
    </row>
    <row r="279" spans="1:19" x14ac:dyDescent="0.2">
      <c r="A279" s="109"/>
      <c r="B279" s="105"/>
      <c r="C279" s="29">
        <v>47</v>
      </c>
      <c r="D279" s="4">
        <v>57.36</v>
      </c>
      <c r="E279" s="4">
        <v>69.22</v>
      </c>
      <c r="F279" s="1">
        <v>165</v>
      </c>
      <c r="G279" s="8">
        <v>0.88500000000000001</v>
      </c>
      <c r="H279" s="105"/>
      <c r="I279" s="29">
        <v>47</v>
      </c>
      <c r="J279" s="4">
        <v>71.47</v>
      </c>
      <c r="K279" s="4">
        <v>74.91</v>
      </c>
      <c r="L279" s="1">
        <v>593</v>
      </c>
      <c r="M279" s="8">
        <v>0.63700000000000001</v>
      </c>
      <c r="N279" s="105"/>
      <c r="O279" s="29">
        <v>47</v>
      </c>
      <c r="P279" s="4">
        <v>76.64</v>
      </c>
      <c r="Q279" s="4">
        <v>77.040000000000006</v>
      </c>
      <c r="R279" s="1">
        <v>865</v>
      </c>
      <c r="S279" s="8">
        <v>0.51700000000000002</v>
      </c>
    </row>
    <row r="280" spans="1:19" x14ac:dyDescent="0.2">
      <c r="A280" s="109"/>
      <c r="B280" s="105"/>
      <c r="C280" s="29">
        <v>50</v>
      </c>
      <c r="D280" s="4">
        <v>57.09</v>
      </c>
      <c r="E280" s="4">
        <v>69.010000000000005</v>
      </c>
      <c r="F280" s="1">
        <v>177</v>
      </c>
      <c r="G280" s="8">
        <v>0.88500000000000001</v>
      </c>
      <c r="H280" s="105"/>
      <c r="I280" s="29">
        <v>50</v>
      </c>
      <c r="J280" s="4">
        <v>70.010000000000005</v>
      </c>
      <c r="K280" s="4">
        <v>74.45</v>
      </c>
      <c r="L280" s="1">
        <v>504</v>
      </c>
      <c r="M280" s="8">
        <v>0.67400000000000004</v>
      </c>
      <c r="N280" s="105"/>
      <c r="O280" s="29">
        <v>50</v>
      </c>
      <c r="P280" s="4">
        <v>76.239999999999995</v>
      </c>
      <c r="Q280" s="4">
        <v>75.62</v>
      </c>
      <c r="R280" s="1">
        <v>1052</v>
      </c>
      <c r="S280" s="8">
        <v>0.47499999999999998</v>
      </c>
    </row>
    <row r="281" spans="1:19" x14ac:dyDescent="0.2">
      <c r="A281" s="109"/>
      <c r="B281" s="105"/>
      <c r="C281" s="30">
        <v>91</v>
      </c>
      <c r="D281" s="27">
        <v>59.66</v>
      </c>
      <c r="E281" s="27">
        <v>70.010000000000005</v>
      </c>
      <c r="F281" s="26">
        <v>233</v>
      </c>
      <c r="G281" s="32">
        <v>0.84499999999999997</v>
      </c>
      <c r="H281" s="105"/>
      <c r="I281" s="30">
        <v>91</v>
      </c>
      <c r="J281" s="27">
        <v>71.09</v>
      </c>
      <c r="K281" s="27">
        <v>74.88</v>
      </c>
      <c r="L281" s="26">
        <v>552</v>
      </c>
      <c r="M281" s="32">
        <v>0.65100000000000002</v>
      </c>
      <c r="N281" s="105"/>
      <c r="O281" s="30">
        <v>91</v>
      </c>
      <c r="P281" s="27">
        <v>75.11</v>
      </c>
      <c r="Q281" s="27">
        <v>76.33</v>
      </c>
      <c r="R281" s="26">
        <v>790</v>
      </c>
      <c r="S281" s="32">
        <v>0.55100000000000005</v>
      </c>
    </row>
    <row r="282" spans="1:19" x14ac:dyDescent="0.2">
      <c r="A282" s="110"/>
      <c r="B282" s="105"/>
      <c r="C282" s="6" t="s">
        <v>8</v>
      </c>
      <c r="D282" s="7">
        <f>AVERAGE(D277:D281)</f>
        <v>58.116</v>
      </c>
      <c r="E282" s="7">
        <f>AVERAGE(E277:E281)</f>
        <v>69.445999999999998</v>
      </c>
      <c r="F282" s="35">
        <f>AVERAGE(F277:F281)</f>
        <v>192.6</v>
      </c>
      <c r="G282" s="34">
        <f>AVERAGE(G277:G281)</f>
        <v>0.8707999999999998</v>
      </c>
      <c r="H282" s="105"/>
      <c r="I282" s="6" t="s">
        <v>8</v>
      </c>
      <c r="J282" s="7">
        <f>AVERAGE(J277:J281)</f>
        <v>71.957999999999998</v>
      </c>
      <c r="K282" s="7">
        <f>AVERAGE(K277:K281)</f>
        <v>75.018000000000001</v>
      </c>
      <c r="L282" s="35">
        <f>AVERAGE(L277:L281)</f>
        <v>633.79999999999995</v>
      </c>
      <c r="M282" s="34">
        <f>AVERAGE(M277:M281)</f>
        <v>0.62200000000000011</v>
      </c>
      <c r="N282" s="105"/>
      <c r="O282" s="6" t="s">
        <v>8</v>
      </c>
      <c r="P282" s="7">
        <f>AVERAGE(P277:P281)</f>
        <v>76.177999999999997</v>
      </c>
      <c r="Q282" s="7">
        <f>AVERAGE(Q277:Q281)</f>
        <v>76.515999999999991</v>
      </c>
      <c r="R282" s="35">
        <f>AVERAGE(R277:R281)</f>
        <v>894.4</v>
      </c>
      <c r="S282" s="34">
        <f>AVERAGE(S277:S281)</f>
        <v>0.51460000000000006</v>
      </c>
    </row>
    <row r="283" spans="1:19" x14ac:dyDescent="0.2">
      <c r="A283" s="119">
        <v>1.8</v>
      </c>
      <c r="B283" s="105"/>
      <c r="C283" s="28">
        <v>13</v>
      </c>
      <c r="D283" s="25">
        <v>50.94</v>
      </c>
      <c r="E283" s="25">
        <v>66.98</v>
      </c>
      <c r="F283" s="25">
        <v>20</v>
      </c>
      <c r="G283" s="31">
        <v>0.98599999999999999</v>
      </c>
      <c r="H283" s="105"/>
      <c r="I283" s="28">
        <v>13</v>
      </c>
      <c r="J283" s="25">
        <v>64.900000000000006</v>
      </c>
      <c r="K283" s="25">
        <v>72.45</v>
      </c>
      <c r="L283" s="25">
        <v>308</v>
      </c>
      <c r="M283" s="31">
        <v>0.77400000000000002</v>
      </c>
      <c r="N283" s="105"/>
      <c r="O283" s="28">
        <v>13</v>
      </c>
      <c r="P283" s="25">
        <v>69.34</v>
      </c>
      <c r="Q283" s="25">
        <v>73.44</v>
      </c>
      <c r="R283" s="25">
        <v>609</v>
      </c>
      <c r="S283" s="31">
        <v>0.65400000000000003</v>
      </c>
    </row>
    <row r="284" spans="1:19" x14ac:dyDescent="0.2">
      <c r="A284" s="109"/>
      <c r="B284" s="105"/>
      <c r="C284" s="29">
        <v>21</v>
      </c>
      <c r="D284" s="4">
        <v>51.28</v>
      </c>
      <c r="E284" s="4">
        <v>67.11</v>
      </c>
      <c r="F284" s="1">
        <v>23</v>
      </c>
      <c r="G284" s="8">
        <v>0.98199999999999998</v>
      </c>
      <c r="H284" s="105"/>
      <c r="I284" s="29">
        <v>21</v>
      </c>
      <c r="J284" s="4">
        <v>58.85</v>
      </c>
      <c r="K284" s="4">
        <v>69.989999999999995</v>
      </c>
      <c r="L284" s="1">
        <v>162</v>
      </c>
      <c r="M284" s="8">
        <v>0.871</v>
      </c>
      <c r="N284" s="105"/>
      <c r="O284" s="29">
        <v>21</v>
      </c>
      <c r="P284" s="4">
        <v>70.599999999999994</v>
      </c>
      <c r="Q284" s="4">
        <v>74.69</v>
      </c>
      <c r="R284" s="1">
        <v>530</v>
      </c>
      <c r="S284" s="8">
        <v>0.66200000000000003</v>
      </c>
    </row>
    <row r="285" spans="1:19" x14ac:dyDescent="0.2">
      <c r="A285" s="109"/>
      <c r="B285" s="105"/>
      <c r="C285" s="29">
        <v>47</v>
      </c>
      <c r="D285" s="4">
        <v>50.72</v>
      </c>
      <c r="E285" s="4">
        <v>66.91</v>
      </c>
      <c r="F285" s="1">
        <v>15</v>
      </c>
      <c r="G285" s="8">
        <v>0.98899999999999999</v>
      </c>
      <c r="H285" s="105"/>
      <c r="I285" s="29">
        <v>47</v>
      </c>
      <c r="J285" s="4">
        <v>62.2</v>
      </c>
      <c r="K285" s="4">
        <v>71.45</v>
      </c>
      <c r="L285" s="1">
        <v>216</v>
      </c>
      <c r="M285" s="8">
        <v>0.82399999999999995</v>
      </c>
      <c r="N285" s="105"/>
      <c r="O285" s="29">
        <v>47</v>
      </c>
      <c r="P285" s="4">
        <v>66.36</v>
      </c>
      <c r="Q285" s="4">
        <v>73.239999999999995</v>
      </c>
      <c r="R285" s="1">
        <v>318</v>
      </c>
      <c r="S285" s="8">
        <v>0.75700000000000001</v>
      </c>
    </row>
    <row r="286" spans="1:19" x14ac:dyDescent="0.2">
      <c r="A286" s="109"/>
      <c r="B286" s="105"/>
      <c r="C286" s="29">
        <v>50</v>
      </c>
      <c r="D286" s="4">
        <v>50.7</v>
      </c>
      <c r="E286" s="4">
        <v>66.849999999999994</v>
      </c>
      <c r="F286" s="1">
        <v>23</v>
      </c>
      <c r="G286" s="8">
        <v>0.98699999999999999</v>
      </c>
      <c r="H286" s="105"/>
      <c r="I286" s="29">
        <v>50</v>
      </c>
      <c r="J286" s="4">
        <v>59.46</v>
      </c>
      <c r="K286" s="4">
        <v>70.430000000000007</v>
      </c>
      <c r="L286" s="1">
        <v>137</v>
      </c>
      <c r="M286" s="8">
        <v>0.871</v>
      </c>
      <c r="N286" s="105"/>
      <c r="O286" s="29">
        <v>50</v>
      </c>
      <c r="P286" s="4">
        <v>67.959999999999994</v>
      </c>
      <c r="Q286" s="4">
        <v>73.67</v>
      </c>
      <c r="R286" s="1">
        <v>414</v>
      </c>
      <c r="S286" s="33">
        <v>0.71699999999999997</v>
      </c>
    </row>
    <row r="287" spans="1:19" x14ac:dyDescent="0.2">
      <c r="A287" s="109"/>
      <c r="B287" s="105"/>
      <c r="C287" s="30">
        <v>91</v>
      </c>
      <c r="D287" s="27">
        <v>51.43</v>
      </c>
      <c r="E287" s="27">
        <v>67.040000000000006</v>
      </c>
      <c r="F287" s="26">
        <v>48</v>
      </c>
      <c r="G287" s="32">
        <v>0.97399999999999998</v>
      </c>
      <c r="H287" s="105"/>
      <c r="I287" s="30">
        <v>91</v>
      </c>
      <c r="J287" s="27">
        <v>61.84</v>
      </c>
      <c r="K287" s="27">
        <v>71.239999999999995</v>
      </c>
      <c r="L287" s="26">
        <v>219</v>
      </c>
      <c r="M287" s="32">
        <v>0.82699999999999996</v>
      </c>
      <c r="N287" s="105"/>
      <c r="O287" s="30">
        <v>91</v>
      </c>
      <c r="P287" s="27">
        <v>66.040000000000006</v>
      </c>
      <c r="Q287" s="27">
        <v>73.06</v>
      </c>
      <c r="R287" s="26">
        <v>315</v>
      </c>
      <c r="S287" s="32">
        <v>0.76100000000000001</v>
      </c>
    </row>
    <row r="288" spans="1:19" x14ac:dyDescent="0.2">
      <c r="A288" s="110"/>
      <c r="B288" s="105"/>
      <c r="C288" s="6" t="s">
        <v>8</v>
      </c>
      <c r="D288" s="7">
        <f>AVERAGE(D283:D287)</f>
        <v>51.013999999999996</v>
      </c>
      <c r="E288" s="7">
        <f>AVERAGE(E283:E287)</f>
        <v>66.978000000000009</v>
      </c>
      <c r="F288" s="35">
        <f>AVERAGE(F283:F287)</f>
        <v>25.8</v>
      </c>
      <c r="G288" s="34">
        <f>AVERAGE(G283:G287)</f>
        <v>0.98360000000000003</v>
      </c>
      <c r="H288" s="105"/>
      <c r="I288" s="6" t="s">
        <v>8</v>
      </c>
      <c r="J288" s="7">
        <f>AVERAGE(J283:J287)</f>
        <v>61.45</v>
      </c>
      <c r="K288" s="7">
        <f>AVERAGE(K283:K287)</f>
        <v>71.111999999999995</v>
      </c>
      <c r="L288" s="35">
        <f>AVERAGE(L283:L287)</f>
        <v>208.4</v>
      </c>
      <c r="M288" s="34">
        <f>AVERAGE(M283:M287)</f>
        <v>0.83339999999999992</v>
      </c>
      <c r="N288" s="105"/>
      <c r="O288" s="6" t="s">
        <v>8</v>
      </c>
      <c r="P288" s="7">
        <f>AVERAGE(P283:P287)</f>
        <v>68.06</v>
      </c>
      <c r="Q288" s="7">
        <f>AVERAGE(Q283:Q287)</f>
        <v>73.62</v>
      </c>
      <c r="R288" s="35">
        <f>AVERAGE(R283:R287)</f>
        <v>437.2</v>
      </c>
      <c r="S288" s="34">
        <f>AVERAGE(S283:S287)</f>
        <v>0.71020000000000005</v>
      </c>
    </row>
    <row r="289" spans="1:19" x14ac:dyDescent="0.2">
      <c r="A289" s="119">
        <v>2</v>
      </c>
      <c r="B289" s="105"/>
      <c r="C289" s="28">
        <v>13</v>
      </c>
      <c r="D289" s="25">
        <v>50.06</v>
      </c>
      <c r="E289" s="25">
        <v>66.69</v>
      </c>
      <c r="F289" s="25">
        <v>0</v>
      </c>
      <c r="G289" s="31">
        <v>0.999</v>
      </c>
      <c r="H289" s="105"/>
      <c r="I289" s="28">
        <v>13</v>
      </c>
      <c r="J289" s="25">
        <v>53.36</v>
      </c>
      <c r="K289" s="25">
        <v>67.98</v>
      </c>
      <c r="L289" s="25">
        <v>40</v>
      </c>
      <c r="M289" s="36">
        <v>0.95599999999999996</v>
      </c>
      <c r="N289" s="105"/>
      <c r="O289" s="28">
        <v>13</v>
      </c>
      <c r="P289" s="51">
        <v>50</v>
      </c>
      <c r="Q289" s="25">
        <v>66.67</v>
      </c>
      <c r="R289" s="25">
        <v>0</v>
      </c>
      <c r="S289" s="36">
        <v>1</v>
      </c>
    </row>
    <row r="290" spans="1:19" x14ac:dyDescent="0.2">
      <c r="A290" s="109"/>
      <c r="B290" s="105"/>
      <c r="C290" s="29">
        <v>21</v>
      </c>
      <c r="D290" s="4">
        <v>50.1</v>
      </c>
      <c r="E290" s="4">
        <v>66.7</v>
      </c>
      <c r="F290" s="1">
        <v>2</v>
      </c>
      <c r="G290" s="8">
        <v>0.999</v>
      </c>
      <c r="H290" s="105"/>
      <c r="I290" s="29">
        <v>21</v>
      </c>
      <c r="J290" s="4">
        <v>52.8</v>
      </c>
      <c r="K290" s="4">
        <v>67.72</v>
      </c>
      <c r="L290" s="1">
        <v>40</v>
      </c>
      <c r="M290" s="8">
        <v>0.96199999999999997</v>
      </c>
      <c r="N290" s="105"/>
      <c r="O290" s="29">
        <v>21</v>
      </c>
      <c r="P290" s="4">
        <v>50</v>
      </c>
      <c r="Q290" s="4">
        <v>66.67</v>
      </c>
      <c r="R290" s="1">
        <v>0</v>
      </c>
      <c r="S290" s="8">
        <v>1</v>
      </c>
    </row>
    <row r="291" spans="1:19" x14ac:dyDescent="0.2">
      <c r="A291" s="109"/>
      <c r="B291" s="105"/>
      <c r="C291" s="29">
        <v>47</v>
      </c>
      <c r="D291" s="4">
        <v>50.09</v>
      </c>
      <c r="E291" s="4">
        <v>66.709999999999994</v>
      </c>
      <c r="F291" s="1">
        <v>0</v>
      </c>
      <c r="G291" s="8">
        <v>0.999</v>
      </c>
      <c r="H291" s="105"/>
      <c r="I291" s="29">
        <v>47</v>
      </c>
      <c r="J291" s="4">
        <v>51.4</v>
      </c>
      <c r="K291" s="4">
        <v>67.2</v>
      </c>
      <c r="L291" s="1">
        <v>17</v>
      </c>
      <c r="M291" s="8">
        <v>0.98199999999999998</v>
      </c>
      <c r="N291" s="105"/>
      <c r="O291" s="29">
        <v>47</v>
      </c>
      <c r="P291" s="4">
        <v>50.66</v>
      </c>
      <c r="Q291" s="4">
        <v>66.95</v>
      </c>
      <c r="R291" s="1">
        <v>3</v>
      </c>
      <c r="S291" s="8">
        <v>0.99299999999999999</v>
      </c>
    </row>
    <row r="292" spans="1:19" x14ac:dyDescent="0.2">
      <c r="A292" s="109"/>
      <c r="B292" s="105"/>
      <c r="C292" s="29">
        <v>50</v>
      </c>
      <c r="D292" s="4">
        <v>50.38</v>
      </c>
      <c r="E292" s="4">
        <v>66.790000000000006</v>
      </c>
      <c r="F292" s="1">
        <v>8</v>
      </c>
      <c r="G292" s="8">
        <v>0.99399999999999999</v>
      </c>
      <c r="H292" s="105"/>
      <c r="I292" s="29">
        <v>50</v>
      </c>
      <c r="J292" s="4">
        <v>51.76</v>
      </c>
      <c r="K292" s="4">
        <v>67.349999999999994</v>
      </c>
      <c r="L292" s="1">
        <v>20</v>
      </c>
      <c r="M292" s="8">
        <v>0.97699999999999998</v>
      </c>
      <c r="N292" s="105"/>
      <c r="O292" s="29">
        <v>50</v>
      </c>
      <c r="P292" s="4">
        <v>50.1</v>
      </c>
      <c r="Q292" s="4">
        <v>66.709999999999994</v>
      </c>
      <c r="R292" s="1">
        <v>1</v>
      </c>
      <c r="S292" s="8">
        <v>0.999</v>
      </c>
    </row>
    <row r="293" spans="1:19" x14ac:dyDescent="0.2">
      <c r="A293" s="109"/>
      <c r="B293" s="105"/>
      <c r="C293" s="30">
        <v>91</v>
      </c>
      <c r="D293" s="27">
        <v>50.15</v>
      </c>
      <c r="E293" s="27">
        <v>66.69</v>
      </c>
      <c r="F293" s="26">
        <v>7</v>
      </c>
      <c r="G293" s="32">
        <v>0.997</v>
      </c>
      <c r="H293" s="105"/>
      <c r="I293" s="30">
        <v>91</v>
      </c>
      <c r="J293" s="27">
        <v>54.09</v>
      </c>
      <c r="K293" s="27">
        <v>68.099999999999994</v>
      </c>
      <c r="L293" s="26">
        <v>80</v>
      </c>
      <c r="M293" s="32">
        <v>0.93899999999999995</v>
      </c>
      <c r="N293" s="105"/>
      <c r="O293" s="30">
        <v>91</v>
      </c>
      <c r="P293" s="27">
        <v>50.03</v>
      </c>
      <c r="Q293" s="27">
        <v>66.680000000000007</v>
      </c>
      <c r="R293" s="26">
        <v>0</v>
      </c>
      <c r="S293" s="52">
        <v>0.999</v>
      </c>
    </row>
    <row r="294" spans="1:19" x14ac:dyDescent="0.2">
      <c r="A294" s="110"/>
      <c r="B294" s="106"/>
      <c r="C294" s="6" t="s">
        <v>8</v>
      </c>
      <c r="D294" s="7">
        <f>AVERAGE(D289:D293)</f>
        <v>50.155999999999999</v>
      </c>
      <c r="E294" s="7">
        <f>AVERAGE(E289:E293)</f>
        <v>66.715999999999994</v>
      </c>
      <c r="F294" s="35">
        <f>AVERAGE(F289:F293)</f>
        <v>3.4</v>
      </c>
      <c r="G294" s="34">
        <f>AVERAGE(G289:G293)</f>
        <v>0.99759999999999993</v>
      </c>
      <c r="H294" s="106"/>
      <c r="I294" s="6" t="s">
        <v>8</v>
      </c>
      <c r="J294" s="7">
        <f>AVERAGE(J289:J293)</f>
        <v>52.681999999999995</v>
      </c>
      <c r="K294" s="7">
        <f>AVERAGE(K289:K293)</f>
        <v>67.67</v>
      </c>
      <c r="L294" s="35">
        <f>AVERAGE(L289:L293)</f>
        <v>39.4</v>
      </c>
      <c r="M294" s="34">
        <f>AVERAGE(M289:M293)</f>
        <v>0.96319999999999995</v>
      </c>
      <c r="N294" s="106"/>
      <c r="O294" s="6" t="s">
        <v>8</v>
      </c>
      <c r="P294" s="7">
        <f>AVERAGE(P289:P293)</f>
        <v>50.158000000000001</v>
      </c>
      <c r="Q294" s="7">
        <f>AVERAGE(Q289:Q293)</f>
        <v>66.736000000000004</v>
      </c>
      <c r="R294" s="35">
        <f>AVERAGE(R289:R293)</f>
        <v>0.8</v>
      </c>
      <c r="S294" s="34">
        <f>AVERAGE(S289:S293)</f>
        <v>0.99819999999999998</v>
      </c>
    </row>
    <row r="297" spans="1:19" x14ac:dyDescent="0.2">
      <c r="A297" s="120" t="s">
        <v>23</v>
      </c>
      <c r="B297" s="107" t="s">
        <v>15</v>
      </c>
      <c r="C297" s="108"/>
      <c r="D297" s="108"/>
      <c r="E297" s="108"/>
      <c r="F297" s="108"/>
      <c r="G297" s="111"/>
      <c r="H297" s="107" t="s">
        <v>16</v>
      </c>
      <c r="I297" s="108"/>
      <c r="J297" s="108"/>
      <c r="K297" s="108"/>
      <c r="L297" s="108"/>
      <c r="M297" s="111"/>
      <c r="N297" s="107" t="s">
        <v>17</v>
      </c>
      <c r="O297" s="108"/>
      <c r="P297" s="108"/>
      <c r="Q297" s="108"/>
      <c r="R297" s="108"/>
      <c r="S297" s="111"/>
    </row>
    <row r="298" spans="1:19" x14ac:dyDescent="0.2">
      <c r="A298" s="121"/>
      <c r="B298" s="19" t="s">
        <v>3</v>
      </c>
      <c r="C298" s="1" t="s">
        <v>4</v>
      </c>
      <c r="D298" s="1" t="s">
        <v>6</v>
      </c>
      <c r="E298" s="2" t="s">
        <v>7</v>
      </c>
      <c r="F298" s="1" t="s">
        <v>24</v>
      </c>
      <c r="G298" s="8" t="s">
        <v>25</v>
      </c>
      <c r="H298" s="19" t="s">
        <v>3</v>
      </c>
      <c r="I298" s="1" t="s">
        <v>4</v>
      </c>
      <c r="J298" s="1" t="s">
        <v>6</v>
      </c>
      <c r="K298" s="2" t="s">
        <v>7</v>
      </c>
      <c r="L298" s="1" t="s">
        <v>24</v>
      </c>
      <c r="M298" s="8" t="s">
        <v>25</v>
      </c>
      <c r="N298" s="19" t="s">
        <v>3</v>
      </c>
      <c r="O298" s="1" t="s">
        <v>4</v>
      </c>
      <c r="P298" s="1" t="s">
        <v>6</v>
      </c>
      <c r="Q298" s="2" t="s">
        <v>7</v>
      </c>
      <c r="R298" s="1" t="s">
        <v>24</v>
      </c>
      <c r="S298" s="8" t="s">
        <v>25</v>
      </c>
    </row>
    <row r="299" spans="1:19" x14ac:dyDescent="0.2">
      <c r="A299" s="122">
        <v>1</v>
      </c>
      <c r="B299" s="104">
        <v>16</v>
      </c>
      <c r="C299" s="28">
        <v>13</v>
      </c>
      <c r="D299" s="25">
        <v>73.099999999999994</v>
      </c>
      <c r="E299" s="1">
        <v>70.540000000000006</v>
      </c>
      <c r="F299" s="25">
        <v>1423</v>
      </c>
      <c r="G299" s="31">
        <v>0.41299999999999998</v>
      </c>
      <c r="H299" s="104">
        <v>16</v>
      </c>
      <c r="I299" s="28">
        <v>13</v>
      </c>
      <c r="J299" s="25">
        <v>75.34</v>
      </c>
      <c r="K299" s="1">
        <v>74.150000000000006</v>
      </c>
      <c r="L299" s="25">
        <v>1170</v>
      </c>
      <c r="M299" s="36">
        <v>0.45400000000000001</v>
      </c>
      <c r="N299" s="104">
        <v>16</v>
      </c>
      <c r="O299" s="28">
        <v>13</v>
      </c>
      <c r="P299" s="25">
        <v>77.39</v>
      </c>
      <c r="Q299" s="1">
        <v>76.42</v>
      </c>
      <c r="R299" s="25">
        <v>1068</v>
      </c>
      <c r="S299" s="31">
        <v>0.45900000000000002</v>
      </c>
    </row>
    <row r="300" spans="1:19" x14ac:dyDescent="0.2">
      <c r="A300" s="123"/>
      <c r="B300" s="105"/>
      <c r="C300" s="29">
        <v>21</v>
      </c>
      <c r="D300" s="4">
        <v>72.989999999999995</v>
      </c>
      <c r="E300" s="4">
        <v>71.010000000000005</v>
      </c>
      <c r="F300" s="1">
        <v>1353</v>
      </c>
      <c r="G300" s="8">
        <v>0.432</v>
      </c>
      <c r="H300" s="105"/>
      <c r="I300" s="29">
        <v>21</v>
      </c>
      <c r="J300" s="4">
        <v>75.209999999999994</v>
      </c>
      <c r="K300" s="4">
        <v>74.16</v>
      </c>
      <c r="L300" s="1">
        <v>1154</v>
      </c>
      <c r="M300" s="8">
        <v>0.45900000000000002</v>
      </c>
      <c r="N300" s="105"/>
      <c r="O300" s="29">
        <v>21</v>
      </c>
      <c r="P300" s="4">
        <v>77.510000000000005</v>
      </c>
      <c r="Q300" s="4">
        <v>76.77</v>
      </c>
      <c r="R300" s="1">
        <v>1028</v>
      </c>
      <c r="S300" s="8">
        <v>0.46800000000000003</v>
      </c>
    </row>
    <row r="301" spans="1:19" x14ac:dyDescent="0.2">
      <c r="A301" s="123"/>
      <c r="B301" s="105"/>
      <c r="C301" s="29">
        <v>47</v>
      </c>
      <c r="D301" s="4">
        <v>73.08</v>
      </c>
      <c r="E301" s="4">
        <v>71.44</v>
      </c>
      <c r="F301" s="1">
        <v>1306</v>
      </c>
      <c r="G301" s="8">
        <v>0.443</v>
      </c>
      <c r="H301" s="105"/>
      <c r="I301" s="29">
        <v>47</v>
      </c>
      <c r="J301" s="4">
        <v>75.22</v>
      </c>
      <c r="K301" s="4">
        <v>74.94</v>
      </c>
      <c r="L301" s="1">
        <v>1036</v>
      </c>
      <c r="M301" s="33">
        <v>0.48899999999999999</v>
      </c>
      <c r="N301" s="105"/>
      <c r="O301" s="29">
        <v>47</v>
      </c>
      <c r="P301" s="4">
        <v>77.41</v>
      </c>
      <c r="Q301" s="4">
        <v>76.930000000000007</v>
      </c>
      <c r="R301" s="1">
        <v>987</v>
      </c>
      <c r="S301" s="8">
        <v>0.47899999999999998</v>
      </c>
    </row>
    <row r="302" spans="1:19" x14ac:dyDescent="0.2">
      <c r="A302" s="123"/>
      <c r="B302" s="105"/>
      <c r="C302" s="29">
        <v>50</v>
      </c>
      <c r="D302" s="4">
        <v>73</v>
      </c>
      <c r="E302" s="4">
        <v>71.849999999999994</v>
      </c>
      <c r="F302" s="1">
        <v>1244</v>
      </c>
      <c r="G302" s="8">
        <v>0.45900000000000002</v>
      </c>
      <c r="H302" s="105"/>
      <c r="I302" s="29">
        <v>50</v>
      </c>
      <c r="J302" s="4">
        <v>75.489999999999995</v>
      </c>
      <c r="K302" s="4">
        <v>73.900000000000006</v>
      </c>
      <c r="L302" s="1">
        <v>1224</v>
      </c>
      <c r="M302" s="8">
        <v>0.439</v>
      </c>
      <c r="N302" s="105"/>
      <c r="O302" s="29">
        <v>50</v>
      </c>
      <c r="P302" s="4">
        <v>77.510000000000005</v>
      </c>
      <c r="Q302" s="4">
        <v>76.64</v>
      </c>
      <c r="R302" s="1">
        <v>1049</v>
      </c>
      <c r="S302" s="8">
        <v>0.46300000000000002</v>
      </c>
    </row>
    <row r="303" spans="1:19" x14ac:dyDescent="0.2">
      <c r="A303" s="123"/>
      <c r="B303" s="105"/>
      <c r="C303" s="30">
        <v>91</v>
      </c>
      <c r="D303" s="27">
        <v>72.959999999999994</v>
      </c>
      <c r="E303" s="27">
        <v>71.349999999999994</v>
      </c>
      <c r="F303" s="26">
        <v>1307</v>
      </c>
      <c r="G303" s="32">
        <v>0.44400000000000001</v>
      </c>
      <c r="H303" s="105"/>
      <c r="I303" s="30">
        <v>91</v>
      </c>
      <c r="J303" s="27">
        <v>75.41</v>
      </c>
      <c r="K303" s="27">
        <v>74</v>
      </c>
      <c r="L303" s="26">
        <v>1201</v>
      </c>
      <c r="M303" s="32">
        <v>0.44600000000000001</v>
      </c>
      <c r="N303" s="105"/>
      <c r="O303" s="30">
        <v>91</v>
      </c>
      <c r="P303" s="27">
        <v>77.22</v>
      </c>
      <c r="Q303" s="27">
        <v>76.33</v>
      </c>
      <c r="R303" s="26">
        <v>1063</v>
      </c>
      <c r="S303" s="32">
        <v>0.46200000000000002</v>
      </c>
    </row>
    <row r="304" spans="1:19" x14ac:dyDescent="0.2">
      <c r="A304" s="121"/>
      <c r="B304" s="105"/>
      <c r="C304" s="6" t="s">
        <v>8</v>
      </c>
      <c r="D304" s="7">
        <f>AVERAGE(D299:D303)</f>
        <v>73.025999999999982</v>
      </c>
      <c r="E304" s="7">
        <f>AVERAGE(E299:E303)</f>
        <v>71.238000000000014</v>
      </c>
      <c r="F304" s="35">
        <f>AVERAGE(F299:F303)</f>
        <v>1326.6</v>
      </c>
      <c r="G304" s="34">
        <f>AVERAGE(G299:G303)</f>
        <v>0.43820000000000003</v>
      </c>
      <c r="H304" s="105"/>
      <c r="I304" s="6" t="s">
        <v>8</v>
      </c>
      <c r="J304" s="7">
        <f>AVERAGE(J299:J303)</f>
        <v>75.333999999999989</v>
      </c>
      <c r="K304" s="7">
        <f>AVERAGE(K299:K303)</f>
        <v>74.22999999999999</v>
      </c>
      <c r="L304" s="35">
        <f>AVERAGE(L299:L303)</f>
        <v>1157</v>
      </c>
      <c r="M304" s="34">
        <f>AVERAGE(M299:M303)</f>
        <v>0.45740000000000008</v>
      </c>
      <c r="N304" s="105"/>
      <c r="O304" s="6" t="s">
        <v>8</v>
      </c>
      <c r="P304" s="7">
        <f>AVERAGE(P299:P303)</f>
        <v>77.407999999999987</v>
      </c>
      <c r="Q304" s="7">
        <f>AVERAGE(Q299:Q303)</f>
        <v>76.617999999999995</v>
      </c>
      <c r="R304" s="35">
        <f>AVERAGE(R299:R303)</f>
        <v>1039</v>
      </c>
      <c r="S304" s="34">
        <f>AVERAGE(S299:S303)</f>
        <v>0.46620000000000006</v>
      </c>
    </row>
    <row r="305" spans="1:19" x14ac:dyDescent="0.2">
      <c r="A305" s="119">
        <v>1.2</v>
      </c>
      <c r="B305" s="105"/>
      <c r="C305" s="28">
        <v>13</v>
      </c>
      <c r="D305" s="25">
        <v>72.89</v>
      </c>
      <c r="E305" s="25">
        <v>71.989999999999995</v>
      </c>
      <c r="F305" s="25">
        <v>1213</v>
      </c>
      <c r="G305" s="31">
        <v>0.46800000000000003</v>
      </c>
      <c r="H305" s="105"/>
      <c r="I305" s="28">
        <v>13</v>
      </c>
      <c r="J305" s="25">
        <v>75.08</v>
      </c>
      <c r="K305" s="25">
        <v>74.790000000000006</v>
      </c>
      <c r="L305" s="25">
        <v>1043</v>
      </c>
      <c r="M305" s="31">
        <v>0.48899999999999999</v>
      </c>
      <c r="N305" s="105"/>
      <c r="O305" s="28">
        <v>13</v>
      </c>
      <c r="P305" s="25">
        <v>77.28</v>
      </c>
      <c r="Q305" s="1">
        <v>76.790000000000006</v>
      </c>
      <c r="R305" s="25">
        <v>993</v>
      </c>
      <c r="S305" s="31">
        <v>0.47899999999999998</v>
      </c>
    </row>
    <row r="306" spans="1:19" x14ac:dyDescent="0.2">
      <c r="A306" s="109"/>
      <c r="B306" s="105"/>
      <c r="C306" s="29">
        <v>21</v>
      </c>
      <c r="D306" s="4">
        <v>71.33</v>
      </c>
      <c r="E306" s="4">
        <v>73.05</v>
      </c>
      <c r="F306" s="1">
        <v>891</v>
      </c>
      <c r="G306" s="8">
        <v>0.56399999999999995</v>
      </c>
      <c r="H306" s="105"/>
      <c r="I306" s="29">
        <v>21</v>
      </c>
      <c r="J306" s="4">
        <v>75.06</v>
      </c>
      <c r="K306" s="4">
        <v>75.209999999999994</v>
      </c>
      <c r="L306" s="1">
        <v>974</v>
      </c>
      <c r="M306" s="8">
        <v>0.50600000000000001</v>
      </c>
      <c r="N306" s="105"/>
      <c r="O306" s="29">
        <v>21</v>
      </c>
      <c r="P306" s="4">
        <v>76.599999999999994</v>
      </c>
      <c r="Q306" s="4">
        <v>76.040000000000006</v>
      </c>
      <c r="R306" s="1">
        <v>1029</v>
      </c>
      <c r="S306" s="8">
        <v>0.47699999999999998</v>
      </c>
    </row>
    <row r="307" spans="1:19" x14ac:dyDescent="0.2">
      <c r="A307" s="109"/>
      <c r="B307" s="105"/>
      <c r="C307" s="29">
        <v>47</v>
      </c>
      <c r="D307" s="4">
        <v>71.349999999999994</v>
      </c>
      <c r="E307" s="4">
        <v>72.88</v>
      </c>
      <c r="F307" s="1">
        <v>920</v>
      </c>
      <c r="G307" s="8">
        <v>0.55700000000000005</v>
      </c>
      <c r="H307" s="105"/>
      <c r="I307" s="29">
        <v>47</v>
      </c>
      <c r="J307" s="4">
        <v>75.239999999999995</v>
      </c>
      <c r="K307" s="4">
        <v>75.31</v>
      </c>
      <c r="L307" s="1">
        <v>978</v>
      </c>
      <c r="M307" s="8">
        <v>0.503</v>
      </c>
      <c r="N307" s="105"/>
      <c r="O307" s="29">
        <v>47</v>
      </c>
      <c r="P307" s="4">
        <v>77.27</v>
      </c>
      <c r="Q307" s="4">
        <v>76.2</v>
      </c>
      <c r="R307" s="1">
        <v>1088</v>
      </c>
      <c r="S307" s="33">
        <v>0.45500000000000002</v>
      </c>
    </row>
    <row r="308" spans="1:19" x14ac:dyDescent="0.2">
      <c r="A308" s="109"/>
      <c r="B308" s="105"/>
      <c r="C308" s="29">
        <v>50</v>
      </c>
      <c r="D308" s="4">
        <v>72.52</v>
      </c>
      <c r="E308" s="4">
        <v>71.930000000000007</v>
      </c>
      <c r="F308" s="1">
        <v>1184</v>
      </c>
      <c r="G308" s="8">
        <v>0.47899999999999998</v>
      </c>
      <c r="H308" s="105"/>
      <c r="I308" s="29">
        <v>50</v>
      </c>
      <c r="J308" s="4">
        <v>75.41</v>
      </c>
      <c r="K308" s="4">
        <v>73.52</v>
      </c>
      <c r="L308" s="1">
        <v>1270</v>
      </c>
      <c r="M308" s="8">
        <v>0.42799999999999999</v>
      </c>
      <c r="N308" s="105"/>
      <c r="O308" s="29">
        <v>50</v>
      </c>
      <c r="P308" s="4">
        <v>77.19</v>
      </c>
      <c r="Q308" s="4">
        <v>75.959999999999994</v>
      </c>
      <c r="R308" s="1">
        <v>1117</v>
      </c>
      <c r="S308" s="8">
        <v>0.44900000000000001</v>
      </c>
    </row>
    <row r="309" spans="1:19" x14ac:dyDescent="0.2">
      <c r="A309" s="109"/>
      <c r="B309" s="105"/>
      <c r="C309" s="30">
        <v>91</v>
      </c>
      <c r="D309" s="27">
        <v>71.45</v>
      </c>
      <c r="E309" s="27">
        <v>72.569999999999993</v>
      </c>
      <c r="F309" s="26">
        <v>979</v>
      </c>
      <c r="G309" s="32">
        <v>0.54100000000000004</v>
      </c>
      <c r="H309" s="105"/>
      <c r="I309" s="30">
        <v>91</v>
      </c>
      <c r="J309" s="27">
        <v>75.040000000000006</v>
      </c>
      <c r="K309" s="27">
        <v>72.900000000000006</v>
      </c>
      <c r="L309" s="26">
        <v>1314</v>
      </c>
      <c r="M309" s="32">
        <v>0.42099999999999999</v>
      </c>
      <c r="N309" s="105"/>
      <c r="O309" s="30">
        <v>91</v>
      </c>
      <c r="P309" s="27">
        <v>77.3</v>
      </c>
      <c r="Q309" s="27">
        <v>77.209999999999994</v>
      </c>
      <c r="R309" s="26">
        <v>923</v>
      </c>
      <c r="S309" s="32">
        <v>0.496</v>
      </c>
    </row>
    <row r="310" spans="1:19" x14ac:dyDescent="0.2">
      <c r="A310" s="110"/>
      <c r="B310" s="105"/>
      <c r="C310" s="6" t="s">
        <v>8</v>
      </c>
      <c r="D310" s="7">
        <f>AVERAGE(D305:D309)</f>
        <v>71.907999999999987</v>
      </c>
      <c r="E310" s="7">
        <f>AVERAGE(E305:E309)</f>
        <v>72.484000000000009</v>
      </c>
      <c r="F310" s="35">
        <f>AVERAGE(F305:F309)</f>
        <v>1037.4000000000001</v>
      </c>
      <c r="G310" s="34">
        <f>AVERAGE(G305:G309)</f>
        <v>0.52180000000000004</v>
      </c>
      <c r="H310" s="105"/>
      <c r="I310" s="6" t="s">
        <v>8</v>
      </c>
      <c r="J310" s="7">
        <f>AVERAGE(J305:J309)</f>
        <v>75.165999999999997</v>
      </c>
      <c r="K310" s="7">
        <f>AVERAGE(K305:K309)</f>
        <v>74.346000000000004</v>
      </c>
      <c r="L310" s="35">
        <f>AVERAGE(L305:L309)</f>
        <v>1115.8</v>
      </c>
      <c r="M310" s="34">
        <f>AVERAGE(M305:M309)</f>
        <v>0.46939999999999998</v>
      </c>
      <c r="N310" s="105"/>
      <c r="O310" s="6" t="s">
        <v>8</v>
      </c>
      <c r="P310" s="7">
        <f>AVERAGE(P305:P309)</f>
        <v>77.128</v>
      </c>
      <c r="Q310" s="7">
        <f>AVERAGE(Q305:Q309)</f>
        <v>76.44</v>
      </c>
      <c r="R310" s="35">
        <f>AVERAGE(R305:R309)</f>
        <v>1030</v>
      </c>
      <c r="S310" s="34">
        <f>AVERAGE(S305:S309)</f>
        <v>0.47119999999999995</v>
      </c>
    </row>
    <row r="311" spans="1:19" x14ac:dyDescent="0.2">
      <c r="A311" s="119">
        <v>1.4</v>
      </c>
      <c r="B311" s="105"/>
      <c r="C311" s="28">
        <v>13</v>
      </c>
      <c r="D311" s="25">
        <v>67.86</v>
      </c>
      <c r="E311" s="25">
        <v>72.709999999999994</v>
      </c>
      <c r="F311" s="25">
        <v>575</v>
      </c>
      <c r="G311" s="31">
        <v>0.67700000000000005</v>
      </c>
      <c r="H311" s="105"/>
      <c r="I311" s="28">
        <v>13</v>
      </c>
      <c r="J311" s="25">
        <v>74.83</v>
      </c>
      <c r="K311" s="25">
        <v>74.319999999999993</v>
      </c>
      <c r="L311" s="25">
        <v>1086</v>
      </c>
      <c r="M311" s="31">
        <v>0.48</v>
      </c>
      <c r="N311" s="105"/>
      <c r="O311" s="28">
        <v>13</v>
      </c>
      <c r="P311" s="25">
        <v>76.709999999999994</v>
      </c>
      <c r="Q311" s="25">
        <v>76.290000000000006</v>
      </c>
      <c r="R311" s="25">
        <v>1003</v>
      </c>
      <c r="S311" s="31">
        <v>0.48199999999999998</v>
      </c>
    </row>
    <row r="312" spans="1:19" x14ac:dyDescent="0.2">
      <c r="A312" s="109"/>
      <c r="B312" s="105"/>
      <c r="C312" s="29">
        <v>21</v>
      </c>
      <c r="D312" s="4">
        <v>61.19</v>
      </c>
      <c r="E312" s="4">
        <v>70.52</v>
      </c>
      <c r="F312" s="1">
        <v>287</v>
      </c>
      <c r="G312" s="33">
        <v>0.81599999999999995</v>
      </c>
      <c r="H312" s="105"/>
      <c r="I312" s="29">
        <v>21</v>
      </c>
      <c r="J312" s="4">
        <v>71.459999999999994</v>
      </c>
      <c r="K312" s="4">
        <v>74.53</v>
      </c>
      <c r="L312" s="1">
        <v>660</v>
      </c>
      <c r="M312" s="8">
        <v>0.62</v>
      </c>
      <c r="N312" s="105"/>
      <c r="O312" s="29">
        <v>21</v>
      </c>
      <c r="P312" s="4">
        <v>76.540000000000006</v>
      </c>
      <c r="Q312" s="4">
        <v>75.8</v>
      </c>
      <c r="R312" s="1">
        <v>1061</v>
      </c>
      <c r="S312" s="8">
        <v>0.46899999999999997</v>
      </c>
    </row>
    <row r="313" spans="1:19" x14ac:dyDescent="0.2">
      <c r="A313" s="109"/>
      <c r="B313" s="105"/>
      <c r="C313" s="29">
        <v>47</v>
      </c>
      <c r="D313" s="4">
        <v>63.94</v>
      </c>
      <c r="E313" s="4">
        <v>71.459999999999994</v>
      </c>
      <c r="F313" s="1">
        <v>388</v>
      </c>
      <c r="G313" s="8">
        <v>0.76400000000000001</v>
      </c>
      <c r="H313" s="105"/>
      <c r="I313" s="29">
        <v>47</v>
      </c>
      <c r="J313" s="4">
        <v>74.099999999999994</v>
      </c>
      <c r="K313" s="4">
        <v>75.2</v>
      </c>
      <c r="L313" s="1">
        <v>858</v>
      </c>
      <c r="M313" s="8">
        <v>0.54500000000000004</v>
      </c>
      <c r="N313" s="105"/>
      <c r="O313" s="29">
        <v>47</v>
      </c>
      <c r="P313" s="4">
        <v>76.739999999999995</v>
      </c>
      <c r="Q313" s="4">
        <v>76.59</v>
      </c>
      <c r="R313" s="1">
        <v>955</v>
      </c>
      <c r="S313" s="8">
        <v>0.49399999999999999</v>
      </c>
    </row>
    <row r="314" spans="1:19" x14ac:dyDescent="0.2">
      <c r="A314" s="109"/>
      <c r="B314" s="105"/>
      <c r="C314" s="29">
        <v>50</v>
      </c>
      <c r="D314" s="4">
        <v>68.2</v>
      </c>
      <c r="E314" s="4">
        <v>73</v>
      </c>
      <c r="F314" s="1">
        <v>561</v>
      </c>
      <c r="G314" s="8">
        <v>0.67800000000000005</v>
      </c>
      <c r="H314" s="105"/>
      <c r="I314" s="29">
        <v>50</v>
      </c>
      <c r="J314" s="4">
        <v>74.78</v>
      </c>
      <c r="K314" s="4">
        <v>75.09</v>
      </c>
      <c r="L314" s="1">
        <v>959</v>
      </c>
      <c r="M314" s="8">
        <v>0.51300000000000001</v>
      </c>
      <c r="N314" s="105"/>
      <c r="O314" s="29">
        <v>50</v>
      </c>
      <c r="P314" s="4">
        <v>76.930000000000007</v>
      </c>
      <c r="Q314" s="4">
        <v>76</v>
      </c>
      <c r="R314" s="1">
        <v>1077</v>
      </c>
      <c r="S314" s="8">
        <v>0.46200000000000002</v>
      </c>
    </row>
    <row r="315" spans="1:19" x14ac:dyDescent="0.2">
      <c r="A315" s="109"/>
      <c r="B315" s="105"/>
      <c r="C315" s="30">
        <v>91</v>
      </c>
      <c r="D315" s="27">
        <v>62.84</v>
      </c>
      <c r="E315" s="27">
        <v>71.11</v>
      </c>
      <c r="F315" s="26">
        <v>341</v>
      </c>
      <c r="G315" s="32">
        <v>0.78600000000000003</v>
      </c>
      <c r="H315" s="105"/>
      <c r="I315" s="30">
        <v>91</v>
      </c>
      <c r="J315" s="27">
        <v>74.58</v>
      </c>
      <c r="K315" s="27">
        <v>72.510000000000005</v>
      </c>
      <c r="L315" s="26">
        <v>1318</v>
      </c>
      <c r="M315" s="32">
        <v>0.42499999999999999</v>
      </c>
      <c r="N315" s="105"/>
      <c r="O315" s="30">
        <v>91</v>
      </c>
      <c r="P315" s="27">
        <v>76.53</v>
      </c>
      <c r="Q315" s="27">
        <v>76.819999999999993</v>
      </c>
      <c r="R315" s="26">
        <v>888</v>
      </c>
      <c r="S315" s="32">
        <v>0.51200000000000001</v>
      </c>
    </row>
    <row r="316" spans="1:19" x14ac:dyDescent="0.2">
      <c r="A316" s="110"/>
      <c r="B316" s="105"/>
      <c r="C316" s="6" t="s">
        <v>8</v>
      </c>
      <c r="D316" s="7">
        <f>AVERAGE(D311:D315)</f>
        <v>64.805999999999997</v>
      </c>
      <c r="E316" s="7">
        <f>AVERAGE(E311:E315)</f>
        <v>71.760000000000005</v>
      </c>
      <c r="F316" s="35">
        <f>AVERAGE(F311:F315)</f>
        <v>430.4</v>
      </c>
      <c r="G316" s="34">
        <f>AVERAGE(G311:G315)</f>
        <v>0.74419999999999997</v>
      </c>
      <c r="H316" s="105"/>
      <c r="I316" s="6" t="s">
        <v>8</v>
      </c>
      <c r="J316" s="7">
        <f>AVERAGE(J311:J315)</f>
        <v>73.949999999999989</v>
      </c>
      <c r="K316" s="7">
        <f>AVERAGE(K311:K315)</f>
        <v>74.33</v>
      </c>
      <c r="L316" s="35">
        <f>AVERAGE(L311:L315)</f>
        <v>976.2</v>
      </c>
      <c r="M316" s="34">
        <f>AVERAGE(M311:M315)</f>
        <v>0.51659999999999995</v>
      </c>
      <c r="N316" s="105"/>
      <c r="O316" s="6" t="s">
        <v>8</v>
      </c>
      <c r="P316" s="7">
        <f>AVERAGE(P311:P315)</f>
        <v>76.690000000000012</v>
      </c>
      <c r="Q316" s="7">
        <f>AVERAGE(Q311:Q315)</f>
        <v>76.3</v>
      </c>
      <c r="R316" s="35">
        <f>AVERAGE(R311:R315)</f>
        <v>996.8</v>
      </c>
      <c r="S316" s="34">
        <f>AVERAGE(S311:S315)</f>
        <v>0.4837999999999999</v>
      </c>
    </row>
    <row r="317" spans="1:19" x14ac:dyDescent="0.2">
      <c r="A317" s="119">
        <v>1.6</v>
      </c>
      <c r="B317" s="105"/>
      <c r="C317" s="28">
        <v>13</v>
      </c>
      <c r="D317" s="25">
        <v>53.84</v>
      </c>
      <c r="E317" s="25">
        <v>67.930000000000007</v>
      </c>
      <c r="F317" s="25">
        <v>88</v>
      </c>
      <c r="G317" s="31">
        <v>0.94</v>
      </c>
      <c r="H317" s="105"/>
      <c r="I317" s="28">
        <v>13</v>
      </c>
      <c r="J317" s="25">
        <v>69.84</v>
      </c>
      <c r="K317" s="25">
        <v>74.239999999999995</v>
      </c>
      <c r="L317" s="25">
        <v>339</v>
      </c>
      <c r="M317" s="31">
        <v>0.75800000000000001</v>
      </c>
      <c r="N317" s="105"/>
      <c r="O317" s="28">
        <v>13</v>
      </c>
      <c r="P317" s="25">
        <v>75.010000000000005</v>
      </c>
      <c r="Q317" s="25">
        <v>76.66</v>
      </c>
      <c r="R317" s="25">
        <v>718</v>
      </c>
      <c r="S317" s="31">
        <v>0.56999999999999995</v>
      </c>
    </row>
    <row r="318" spans="1:19" x14ac:dyDescent="0.2">
      <c r="A318" s="109"/>
      <c r="B318" s="105"/>
      <c r="C318" s="29">
        <v>21</v>
      </c>
      <c r="D318" s="4">
        <v>52.83</v>
      </c>
      <c r="E318" s="4">
        <v>67.59</v>
      </c>
      <c r="F318" s="1">
        <v>65</v>
      </c>
      <c r="G318" s="8">
        <v>0.95599999999999996</v>
      </c>
      <c r="H318" s="105"/>
      <c r="I318" s="29">
        <v>21</v>
      </c>
      <c r="J318" s="4">
        <v>65.48</v>
      </c>
      <c r="K318" s="4">
        <v>72.349999999999994</v>
      </c>
      <c r="L318" s="1">
        <v>387</v>
      </c>
      <c r="M318" s="8">
        <v>0.749</v>
      </c>
      <c r="N318" s="105"/>
      <c r="O318" s="29">
        <v>21</v>
      </c>
      <c r="P318" s="4">
        <v>74.28</v>
      </c>
      <c r="Q318" s="4">
        <v>75.94</v>
      </c>
      <c r="R318" s="1">
        <v>752</v>
      </c>
      <c r="S318" s="8">
        <v>0.56899999999999995</v>
      </c>
    </row>
    <row r="319" spans="1:19" x14ac:dyDescent="0.2">
      <c r="A319" s="109"/>
      <c r="B319" s="105"/>
      <c r="C319" s="29">
        <v>47</v>
      </c>
      <c r="D319" s="4">
        <v>52.95</v>
      </c>
      <c r="E319" s="4">
        <v>67.53</v>
      </c>
      <c r="F319" s="1">
        <v>86</v>
      </c>
      <c r="G319" s="8">
        <v>0.94899999999999995</v>
      </c>
      <c r="H319" s="105"/>
      <c r="I319" s="29">
        <v>47</v>
      </c>
      <c r="J319" s="4">
        <v>71.430000000000007</v>
      </c>
      <c r="K319" s="4">
        <v>74.67</v>
      </c>
      <c r="L319" s="1">
        <v>631</v>
      </c>
      <c r="M319" s="33">
        <v>0.628</v>
      </c>
      <c r="N319" s="105"/>
      <c r="O319" s="29">
        <v>47</v>
      </c>
      <c r="P319" s="4">
        <v>75.41</v>
      </c>
      <c r="Q319" s="4">
        <v>76.73</v>
      </c>
      <c r="R319" s="1">
        <v>757</v>
      </c>
      <c r="S319" s="8">
        <v>0.55700000000000005</v>
      </c>
    </row>
    <row r="320" spans="1:19" x14ac:dyDescent="0.2">
      <c r="A320" s="109"/>
      <c r="B320" s="105"/>
      <c r="C320" s="29">
        <v>50</v>
      </c>
      <c r="D320" s="4">
        <v>53.15</v>
      </c>
      <c r="E320" s="4">
        <v>67.709999999999994</v>
      </c>
      <c r="F320" s="1">
        <v>71</v>
      </c>
      <c r="G320" s="8">
        <v>0.95099999999999996</v>
      </c>
      <c r="H320" s="105"/>
      <c r="I320" s="29">
        <v>50</v>
      </c>
      <c r="J320" s="4">
        <v>65.77</v>
      </c>
      <c r="K320" s="4">
        <v>72.78</v>
      </c>
      <c r="L320" s="1">
        <v>339</v>
      </c>
      <c r="M320" s="8">
        <v>0.75800000000000001</v>
      </c>
      <c r="N320" s="105"/>
      <c r="O320" s="29">
        <v>50</v>
      </c>
      <c r="P320" s="4">
        <v>76.510000000000005</v>
      </c>
      <c r="Q320" s="4">
        <v>75.099999999999994</v>
      </c>
      <c r="R320" s="1">
        <v>1167</v>
      </c>
      <c r="S320" s="33">
        <v>0.443</v>
      </c>
    </row>
    <row r="321" spans="1:19" x14ac:dyDescent="0.2">
      <c r="A321" s="109"/>
      <c r="B321" s="105"/>
      <c r="C321" s="30">
        <v>91</v>
      </c>
      <c r="D321" s="27">
        <v>53.7</v>
      </c>
      <c r="E321" s="27">
        <v>67.819999999999993</v>
      </c>
      <c r="F321" s="26">
        <v>96</v>
      </c>
      <c r="G321" s="32">
        <v>0.93899999999999995</v>
      </c>
      <c r="H321" s="105"/>
      <c r="I321" s="30">
        <v>91</v>
      </c>
      <c r="J321" s="27">
        <v>74.13</v>
      </c>
      <c r="K321" s="27">
        <v>74.52</v>
      </c>
      <c r="L321" s="26">
        <v>973</v>
      </c>
      <c r="M321" s="56">
        <v>0.51600000000000001</v>
      </c>
      <c r="N321" s="105"/>
      <c r="O321" s="30">
        <v>91</v>
      </c>
      <c r="P321" s="27">
        <v>74.08</v>
      </c>
      <c r="Q321" s="27">
        <v>76.36</v>
      </c>
      <c r="R321" s="26">
        <v>651</v>
      </c>
      <c r="S321" s="32">
        <v>0.59699999999999998</v>
      </c>
    </row>
    <row r="322" spans="1:19" x14ac:dyDescent="0.2">
      <c r="A322" s="110"/>
      <c r="B322" s="105"/>
      <c r="C322" s="6" t="s">
        <v>8</v>
      </c>
      <c r="D322" s="7">
        <f>AVERAGE(D317:D321)</f>
        <v>53.294000000000004</v>
      </c>
      <c r="E322" s="7">
        <f>AVERAGE(E317:E321)</f>
        <v>67.715999999999994</v>
      </c>
      <c r="F322" s="35">
        <f>AVERAGE(F317:F321)</f>
        <v>81.2</v>
      </c>
      <c r="G322" s="34">
        <f>AVERAGE(G317:G321)</f>
        <v>0.94699999999999984</v>
      </c>
      <c r="H322" s="105"/>
      <c r="I322" s="6" t="s">
        <v>8</v>
      </c>
      <c r="J322" s="7">
        <f>AVERAGE(J317:J321)</f>
        <v>69.33</v>
      </c>
      <c r="K322" s="7">
        <f>AVERAGE(K317:K321)</f>
        <v>73.711999999999989</v>
      </c>
      <c r="L322" s="35">
        <f>AVERAGE(L317:L321)</f>
        <v>533.79999999999995</v>
      </c>
      <c r="M322" s="34">
        <f>AVERAGE(M317:M321)</f>
        <v>0.68180000000000007</v>
      </c>
      <c r="N322" s="105"/>
      <c r="O322" s="6" t="s">
        <v>8</v>
      </c>
      <c r="P322" s="7">
        <f>AVERAGE(P317:P321)</f>
        <v>75.058000000000007</v>
      </c>
      <c r="Q322" s="7">
        <f>AVERAGE(Q317:Q321)</f>
        <v>76.157999999999987</v>
      </c>
      <c r="R322" s="35">
        <f>AVERAGE(R317:R321)</f>
        <v>809</v>
      </c>
      <c r="S322" s="34">
        <f>AVERAGE(S317:S321)</f>
        <v>0.54719999999999991</v>
      </c>
    </row>
    <row r="323" spans="1:19" x14ac:dyDescent="0.2">
      <c r="A323" s="119">
        <v>1.8</v>
      </c>
      <c r="B323" s="105"/>
      <c r="C323" s="28">
        <v>13</v>
      </c>
      <c r="D323" s="25">
        <v>50.14</v>
      </c>
      <c r="E323" s="25">
        <v>66.72</v>
      </c>
      <c r="F323" s="25">
        <v>1</v>
      </c>
      <c r="G323" s="31">
        <v>0.998</v>
      </c>
      <c r="H323" s="105"/>
      <c r="I323" s="28">
        <v>13</v>
      </c>
      <c r="J323" s="4">
        <v>56.51</v>
      </c>
      <c r="K323" s="4">
        <v>69.010000000000005</v>
      </c>
      <c r="L323" s="1">
        <v>126</v>
      </c>
      <c r="M323" s="33">
        <v>0.90300000000000002</v>
      </c>
      <c r="N323" s="105"/>
      <c r="O323" s="28">
        <v>13</v>
      </c>
      <c r="P323" s="25">
        <v>64.05</v>
      </c>
      <c r="Q323" s="25">
        <v>72.39</v>
      </c>
      <c r="R323" s="25">
        <v>229</v>
      </c>
      <c r="S323" s="31">
        <v>0.80200000000000005</v>
      </c>
    </row>
    <row r="324" spans="1:19" x14ac:dyDescent="0.2">
      <c r="A324" s="109"/>
      <c r="B324" s="105"/>
      <c r="C324" s="29">
        <v>21</v>
      </c>
      <c r="D324" s="4">
        <v>50.24</v>
      </c>
      <c r="E324" s="4">
        <v>66.73</v>
      </c>
      <c r="F324" s="1">
        <v>8</v>
      </c>
      <c r="G324" s="8">
        <v>0.996</v>
      </c>
      <c r="H324" s="105"/>
      <c r="I324" s="29">
        <v>21</v>
      </c>
      <c r="J324" s="4">
        <v>55.99</v>
      </c>
      <c r="K324" s="4">
        <v>68.900000000000006</v>
      </c>
      <c r="L324" s="1">
        <v>100</v>
      </c>
      <c r="M324" s="8">
        <v>0.91500000000000004</v>
      </c>
      <c r="N324" s="105"/>
      <c r="O324" s="29">
        <v>21</v>
      </c>
      <c r="P324" s="4">
        <v>64.599999999999994</v>
      </c>
      <c r="Q324" s="4">
        <v>72.56</v>
      </c>
      <c r="R324" s="1">
        <v>256</v>
      </c>
      <c r="S324" s="8">
        <v>0.79</v>
      </c>
    </row>
    <row r="325" spans="1:19" x14ac:dyDescent="0.2">
      <c r="A325" s="109"/>
      <c r="B325" s="105"/>
      <c r="C325" s="29">
        <v>47</v>
      </c>
      <c r="D325" s="4">
        <v>50.22</v>
      </c>
      <c r="E325" s="4">
        <v>66.72</v>
      </c>
      <c r="F325" s="1">
        <v>9</v>
      </c>
      <c r="G325" s="8">
        <v>0.996</v>
      </c>
      <c r="H325" s="105"/>
      <c r="I325" s="29">
        <v>47</v>
      </c>
      <c r="J325" s="4">
        <v>58.92</v>
      </c>
      <c r="K325" s="4">
        <v>70.010000000000005</v>
      </c>
      <c r="L325" s="1">
        <v>165</v>
      </c>
      <c r="M325" s="8">
        <v>0.87</v>
      </c>
      <c r="N325" s="105"/>
      <c r="O325" s="29">
        <v>47</v>
      </c>
      <c r="P325" s="4">
        <v>64.040000000000006</v>
      </c>
      <c r="Q325" s="4">
        <v>72.349999999999994</v>
      </c>
      <c r="R325" s="1">
        <v>236</v>
      </c>
      <c r="S325" s="8">
        <v>0.80100000000000005</v>
      </c>
    </row>
    <row r="326" spans="1:19" x14ac:dyDescent="0.2">
      <c r="A326" s="109"/>
      <c r="B326" s="105"/>
      <c r="C326" s="29">
        <v>50</v>
      </c>
      <c r="D326" s="4">
        <v>50.06</v>
      </c>
      <c r="E326" s="4">
        <v>66.69</v>
      </c>
      <c r="F326" s="1">
        <v>0</v>
      </c>
      <c r="G326" s="8">
        <v>0.999</v>
      </c>
      <c r="H326" s="105"/>
      <c r="I326" s="29">
        <v>50</v>
      </c>
      <c r="J326" s="4">
        <v>56.21</v>
      </c>
      <c r="K326" s="4">
        <v>69.02</v>
      </c>
      <c r="L326" s="1">
        <v>97</v>
      </c>
      <c r="M326" s="8">
        <v>0.91400000000000003</v>
      </c>
      <c r="N326" s="105"/>
      <c r="O326" s="29">
        <v>50</v>
      </c>
      <c r="P326" s="4">
        <v>67.13</v>
      </c>
      <c r="Q326" s="4">
        <v>73.53</v>
      </c>
      <c r="R326" s="1">
        <v>348</v>
      </c>
      <c r="S326" s="8">
        <v>0.74199999999999999</v>
      </c>
    </row>
    <row r="327" spans="1:19" x14ac:dyDescent="0.2">
      <c r="A327" s="109"/>
      <c r="B327" s="105"/>
      <c r="C327" s="30">
        <v>91</v>
      </c>
      <c r="D327" s="27">
        <v>50.32</v>
      </c>
      <c r="E327" s="27">
        <v>66.7</v>
      </c>
      <c r="F327" s="26">
        <v>20</v>
      </c>
      <c r="G327" s="32">
        <v>0.99199999999999999</v>
      </c>
      <c r="H327" s="105"/>
      <c r="I327" s="30">
        <v>91</v>
      </c>
      <c r="J327" s="27">
        <v>62.71</v>
      </c>
      <c r="K327" s="27">
        <v>71.27</v>
      </c>
      <c r="L327" s="26">
        <v>300</v>
      </c>
      <c r="M327" s="32">
        <v>0.79800000000000004</v>
      </c>
      <c r="N327" s="105"/>
      <c r="O327" s="30">
        <v>91</v>
      </c>
      <c r="P327" s="27">
        <v>68.66</v>
      </c>
      <c r="Q327" s="27">
        <v>74.28</v>
      </c>
      <c r="R327" s="26">
        <v>380</v>
      </c>
      <c r="S327" s="32">
        <v>0.71799999999999997</v>
      </c>
    </row>
    <row r="328" spans="1:19" x14ac:dyDescent="0.2">
      <c r="A328" s="110"/>
      <c r="B328" s="105"/>
      <c r="C328" s="6" t="s">
        <v>8</v>
      </c>
      <c r="D328" s="7">
        <f>AVERAGE(D323:D327)</f>
        <v>50.195999999999998</v>
      </c>
      <c r="E328" s="7">
        <f>AVERAGE(E323:E327)</f>
        <v>66.712000000000003</v>
      </c>
      <c r="F328" s="35">
        <f>AVERAGE(F323:F327)</f>
        <v>7.6</v>
      </c>
      <c r="G328" s="34">
        <f>AVERAGE(G323:G327)</f>
        <v>0.99619999999999997</v>
      </c>
      <c r="H328" s="105"/>
      <c r="I328" s="6" t="s">
        <v>8</v>
      </c>
      <c r="J328" s="7">
        <f>AVERAGE(J323:J327)</f>
        <v>58.068000000000005</v>
      </c>
      <c r="K328" s="7">
        <f>AVERAGE(K323:K327)</f>
        <v>69.641999999999996</v>
      </c>
      <c r="L328" s="35">
        <f>AVERAGE(L323:L327)</f>
        <v>157.6</v>
      </c>
      <c r="M328" s="34">
        <f>AVERAGE(M323:M327)</f>
        <v>0.88000000000000012</v>
      </c>
      <c r="N328" s="105"/>
      <c r="O328" s="6" t="s">
        <v>8</v>
      </c>
      <c r="P328" s="7">
        <f>AVERAGE(P323:P327)</f>
        <v>65.695999999999998</v>
      </c>
      <c r="Q328" s="7">
        <f>AVERAGE(Q323:Q327)</f>
        <v>73.022000000000006</v>
      </c>
      <c r="R328" s="35">
        <f>AVERAGE(R323:R327)</f>
        <v>289.8</v>
      </c>
      <c r="S328" s="34">
        <f>AVERAGE(S323:S327)</f>
        <v>0.77060000000000006</v>
      </c>
    </row>
    <row r="329" spans="1:19" x14ac:dyDescent="0.2">
      <c r="A329" s="119">
        <v>2</v>
      </c>
      <c r="B329" s="105"/>
      <c r="C329" s="28">
        <v>13</v>
      </c>
      <c r="D329" s="25">
        <v>50.01</v>
      </c>
      <c r="E329" s="25">
        <v>66.67</v>
      </c>
      <c r="F329" s="25">
        <v>0</v>
      </c>
      <c r="G329" s="31">
        <v>0.999</v>
      </c>
      <c r="H329" s="105"/>
      <c r="I329" s="28">
        <v>13</v>
      </c>
      <c r="J329" s="4">
        <v>50.54</v>
      </c>
      <c r="K329" s="4">
        <v>66.86</v>
      </c>
      <c r="L329" s="1">
        <v>9</v>
      </c>
      <c r="M329" s="8">
        <v>0.99199999999999999</v>
      </c>
      <c r="N329" s="105"/>
      <c r="O329" s="28">
        <v>13</v>
      </c>
      <c r="P329" s="25">
        <v>50.05</v>
      </c>
      <c r="Q329" s="25">
        <v>66.69</v>
      </c>
      <c r="R329" s="25">
        <v>0</v>
      </c>
      <c r="S329" s="31">
        <v>0.999</v>
      </c>
    </row>
    <row r="330" spans="1:19" x14ac:dyDescent="0.2">
      <c r="A330" s="109"/>
      <c r="B330" s="105"/>
      <c r="C330" s="29">
        <v>21</v>
      </c>
      <c r="D330" s="4">
        <v>50.06</v>
      </c>
      <c r="E330" s="4">
        <v>66.69</v>
      </c>
      <c r="F330" s="1">
        <v>1</v>
      </c>
      <c r="G330" s="8">
        <v>0.999</v>
      </c>
      <c r="H330" s="105"/>
      <c r="I330" s="29">
        <v>21</v>
      </c>
      <c r="J330" s="4">
        <v>50.46</v>
      </c>
      <c r="K330" s="4">
        <v>66.84</v>
      </c>
      <c r="L330" s="1">
        <v>6</v>
      </c>
      <c r="M330" s="8">
        <v>0.99399999999999999</v>
      </c>
      <c r="N330" s="105"/>
      <c r="O330" s="29">
        <v>21</v>
      </c>
      <c r="P330" s="4">
        <v>50.01</v>
      </c>
      <c r="Q330" s="4">
        <v>66.67</v>
      </c>
      <c r="R330" s="1">
        <v>0</v>
      </c>
      <c r="S330" s="8">
        <v>0.999</v>
      </c>
    </row>
    <row r="331" spans="1:19" x14ac:dyDescent="0.2">
      <c r="A331" s="109"/>
      <c r="B331" s="105"/>
      <c r="C331" s="29">
        <v>47</v>
      </c>
      <c r="D331" s="4">
        <v>50.09</v>
      </c>
      <c r="E331" s="4">
        <v>66.69</v>
      </c>
      <c r="F331" s="1">
        <v>2</v>
      </c>
      <c r="G331" s="8">
        <v>0.999</v>
      </c>
      <c r="H331" s="105"/>
      <c r="I331" s="29">
        <v>47</v>
      </c>
      <c r="J331" s="4">
        <v>54.2</v>
      </c>
      <c r="K331" s="4">
        <v>68.27</v>
      </c>
      <c r="L331" s="1">
        <v>59</v>
      </c>
      <c r="M331" s="8">
        <v>0.94299999999999995</v>
      </c>
      <c r="N331" s="105"/>
      <c r="O331" s="29">
        <v>47</v>
      </c>
      <c r="P331" s="4">
        <v>52.05</v>
      </c>
      <c r="Q331" s="4">
        <v>67.42</v>
      </c>
      <c r="R331" s="1">
        <v>31</v>
      </c>
      <c r="S331" s="8">
        <v>0.97099999999999997</v>
      </c>
    </row>
    <row r="332" spans="1:19" x14ac:dyDescent="0.2">
      <c r="A332" s="109"/>
      <c r="B332" s="105"/>
      <c r="C332" s="29">
        <v>50</v>
      </c>
      <c r="D332" s="4">
        <v>50</v>
      </c>
      <c r="E332" s="4">
        <v>66.67</v>
      </c>
      <c r="F332" s="1">
        <v>0</v>
      </c>
      <c r="G332" s="8">
        <v>1</v>
      </c>
      <c r="H332" s="105"/>
      <c r="I332" s="29">
        <v>50</v>
      </c>
      <c r="J332" s="4">
        <v>51.23</v>
      </c>
      <c r="K332" s="4">
        <v>67.11</v>
      </c>
      <c r="L332" s="1">
        <v>20</v>
      </c>
      <c r="M332" s="8">
        <v>0.98299999999999998</v>
      </c>
      <c r="N332" s="105"/>
      <c r="O332" s="29">
        <v>50</v>
      </c>
      <c r="P332" s="4">
        <v>50.32</v>
      </c>
      <c r="Q332" s="4">
        <v>66.8</v>
      </c>
      <c r="R332" s="1">
        <v>2</v>
      </c>
      <c r="S332" s="8">
        <v>0.996</v>
      </c>
    </row>
    <row r="333" spans="1:19" x14ac:dyDescent="0.2">
      <c r="A333" s="109"/>
      <c r="B333" s="105"/>
      <c r="C333" s="30">
        <v>91</v>
      </c>
      <c r="D333" s="27">
        <v>50.11</v>
      </c>
      <c r="E333" s="27">
        <v>66.709999999999994</v>
      </c>
      <c r="F333" s="26">
        <v>2</v>
      </c>
      <c r="G333" s="32">
        <v>0.998</v>
      </c>
      <c r="H333" s="105"/>
      <c r="I333" s="30">
        <v>91</v>
      </c>
      <c r="J333" s="27">
        <v>50.95</v>
      </c>
      <c r="K333" s="27">
        <v>67.02</v>
      </c>
      <c r="L333" s="26">
        <v>13</v>
      </c>
      <c r="M333" s="32">
        <v>0.98699999999999999</v>
      </c>
      <c r="N333" s="105"/>
      <c r="O333" s="30">
        <v>91</v>
      </c>
      <c r="P333" s="27">
        <v>50.61</v>
      </c>
      <c r="Q333" s="27">
        <v>66.73</v>
      </c>
      <c r="R333" s="26">
        <v>1</v>
      </c>
      <c r="S333" s="32">
        <v>0.998</v>
      </c>
    </row>
    <row r="334" spans="1:19" x14ac:dyDescent="0.2">
      <c r="A334" s="110"/>
      <c r="B334" s="106"/>
      <c r="C334" s="6" t="s">
        <v>8</v>
      </c>
      <c r="D334" s="7">
        <f>AVERAGE(D329:D333)</f>
        <v>50.053999999999995</v>
      </c>
      <c r="E334" s="7">
        <f>AVERAGE(E329:E333)</f>
        <v>66.686000000000007</v>
      </c>
      <c r="F334" s="35">
        <f>AVERAGE(F329:F333)</f>
        <v>1</v>
      </c>
      <c r="G334" s="34">
        <f>AVERAGE(G329:G333)</f>
        <v>0.999</v>
      </c>
      <c r="H334" s="106"/>
      <c r="I334" s="6" t="s">
        <v>8</v>
      </c>
      <c r="J334" s="7">
        <f>AVERAGE(J329:J333)</f>
        <v>51.475999999999999</v>
      </c>
      <c r="K334" s="7">
        <f>AVERAGE(K329:K333)</f>
        <v>67.22</v>
      </c>
      <c r="L334" s="35">
        <f>AVERAGE(L329:L333)</f>
        <v>21.4</v>
      </c>
      <c r="M334" s="34">
        <f>AVERAGE(M329:M333)</f>
        <v>0.9798</v>
      </c>
      <c r="N334" s="106"/>
      <c r="O334" s="6" t="s">
        <v>8</v>
      </c>
      <c r="P334" s="7">
        <f>AVERAGE(P329:P333)</f>
        <v>50.608000000000004</v>
      </c>
      <c r="Q334" s="7">
        <f>AVERAGE(Q329:Q333)</f>
        <v>66.862000000000009</v>
      </c>
      <c r="R334" s="35">
        <f>AVERAGE(R329:R333)</f>
        <v>6.8</v>
      </c>
      <c r="S334" s="34">
        <f>AVERAGE(S329:S333)</f>
        <v>0.99260000000000004</v>
      </c>
    </row>
    <row r="335" spans="1:19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 x14ac:dyDescent="0.2">
      <c r="A336" s="38" t="s">
        <v>26</v>
      </c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/>
      <c r="O336"/>
      <c r="P336"/>
      <c r="Q336"/>
      <c r="R336"/>
      <c r="S336"/>
    </row>
    <row r="337" spans="1:19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 x14ac:dyDescent="0.2">
      <c r="A338" s="21"/>
      <c r="B338" s="107" t="s">
        <v>15</v>
      </c>
      <c r="C338" s="108"/>
      <c r="D338" s="108"/>
      <c r="E338" s="108"/>
      <c r="F338" s="108"/>
      <c r="G338" s="111"/>
      <c r="H338" s="107" t="s">
        <v>16</v>
      </c>
      <c r="I338" s="108"/>
      <c r="J338" s="108"/>
      <c r="K338" s="108"/>
      <c r="L338" s="108"/>
      <c r="M338" s="111"/>
      <c r="N338" s="124" t="s">
        <v>17</v>
      </c>
      <c r="O338" s="108"/>
      <c r="P338" s="108"/>
      <c r="Q338" s="108"/>
      <c r="R338" s="108"/>
      <c r="S338" s="111"/>
    </row>
    <row r="339" spans="1:19" x14ac:dyDescent="0.2">
      <c r="A339" s="21"/>
      <c r="B339" s="47" t="s">
        <v>3</v>
      </c>
      <c r="C339" s="39" t="s">
        <v>23</v>
      </c>
      <c r="D339" s="25" t="s">
        <v>27</v>
      </c>
      <c r="E339" s="25" t="s">
        <v>7</v>
      </c>
      <c r="F339" s="25" t="s">
        <v>24</v>
      </c>
      <c r="G339" s="31" t="s">
        <v>25</v>
      </c>
      <c r="H339" s="47" t="s">
        <v>3</v>
      </c>
      <c r="I339" s="39" t="s">
        <v>23</v>
      </c>
      <c r="J339" s="25" t="s">
        <v>27</v>
      </c>
      <c r="K339" s="25" t="s">
        <v>7</v>
      </c>
      <c r="L339" s="25" t="s">
        <v>24</v>
      </c>
      <c r="M339" s="31" t="s">
        <v>25</v>
      </c>
      <c r="N339" s="47" t="s">
        <v>3</v>
      </c>
      <c r="O339" s="39" t="s">
        <v>23</v>
      </c>
      <c r="P339" s="25" t="s">
        <v>27</v>
      </c>
      <c r="Q339" s="25" t="s">
        <v>7</v>
      </c>
      <c r="R339" s="25" t="s">
        <v>24</v>
      </c>
      <c r="S339" s="31" t="s">
        <v>25</v>
      </c>
    </row>
    <row r="340" spans="1:19" x14ac:dyDescent="0.2">
      <c r="A340" s="21"/>
      <c r="B340" s="100">
        <v>8</v>
      </c>
      <c r="C340" s="39">
        <v>1</v>
      </c>
      <c r="D340" s="40">
        <f>D264</f>
        <v>72.774000000000001</v>
      </c>
      <c r="E340" s="40">
        <f>E264</f>
        <v>71.361999999999995</v>
      </c>
      <c r="F340" s="41">
        <f>F264</f>
        <v>1285.2</v>
      </c>
      <c r="G340" s="48">
        <f>G264</f>
        <v>0.45079999999999998</v>
      </c>
      <c r="H340" s="100">
        <v>8</v>
      </c>
      <c r="I340" s="39">
        <v>1</v>
      </c>
      <c r="J340" s="40">
        <f>J264</f>
        <v>75.955999999999989</v>
      </c>
      <c r="K340" s="40">
        <f>K264</f>
        <v>75.128</v>
      </c>
      <c r="L340" s="41">
        <f>L264</f>
        <v>1094.2</v>
      </c>
      <c r="M340" s="48">
        <f>M264</f>
        <v>0.46679999999999999</v>
      </c>
      <c r="N340" s="100">
        <v>8</v>
      </c>
      <c r="O340" s="39">
        <v>1</v>
      </c>
      <c r="P340" s="40">
        <f>P264</f>
        <v>76.756</v>
      </c>
      <c r="Q340" s="40">
        <f>Q264</f>
        <v>76.222000000000008</v>
      </c>
      <c r="R340" s="41">
        <f>R264</f>
        <v>1019.8</v>
      </c>
      <c r="S340" s="48">
        <f>S264</f>
        <v>0.47739999999999999</v>
      </c>
    </row>
    <row r="341" spans="1:19" x14ac:dyDescent="0.2">
      <c r="A341" s="21"/>
      <c r="B341" s="103"/>
      <c r="C341" s="21">
        <v>1.2</v>
      </c>
      <c r="D341" s="42">
        <f>D270</f>
        <v>72.748000000000005</v>
      </c>
      <c r="E341" s="42">
        <f>E270</f>
        <v>72.372</v>
      </c>
      <c r="F341" s="43">
        <f>F270</f>
        <v>1163.2</v>
      </c>
      <c r="G341" s="49">
        <f>G270</f>
        <v>0.48699999999999999</v>
      </c>
      <c r="H341" s="103"/>
      <c r="I341" s="21">
        <v>1.2</v>
      </c>
      <c r="J341" s="42">
        <f>J270</f>
        <v>75.97999999999999</v>
      </c>
      <c r="K341" s="42">
        <f>K270</f>
        <v>75.41</v>
      </c>
      <c r="L341" s="43">
        <f>L270</f>
        <v>1052.5999999999999</v>
      </c>
      <c r="M341" s="49">
        <f>M270</f>
        <v>0.47720000000000001</v>
      </c>
      <c r="N341" s="103"/>
      <c r="O341" s="21">
        <v>1.2</v>
      </c>
      <c r="P341" s="42">
        <f>P270</f>
        <v>77.116000000000014</v>
      </c>
      <c r="Q341" s="42">
        <f>Q270</f>
        <v>76.501999999999995</v>
      </c>
      <c r="R341" s="43">
        <f>R270</f>
        <v>1018.6</v>
      </c>
      <c r="S341" s="49">
        <f>S270</f>
        <v>0.47439999999999999</v>
      </c>
    </row>
    <row r="342" spans="1:19" x14ac:dyDescent="0.2">
      <c r="A342" s="21"/>
      <c r="B342" s="103"/>
      <c r="C342" s="21">
        <v>1.4</v>
      </c>
      <c r="D342" s="42">
        <f>D276</f>
        <v>67.677999999999997</v>
      </c>
      <c r="E342" s="42">
        <f>E276</f>
        <v>72.525999999999996</v>
      </c>
      <c r="F342" s="43">
        <f>F276</f>
        <v>588.6</v>
      </c>
      <c r="G342" s="49">
        <f>G276</f>
        <v>0.67599999999999993</v>
      </c>
      <c r="H342" s="103"/>
      <c r="I342" s="21">
        <v>1.4</v>
      </c>
      <c r="J342" s="42">
        <f>J276</f>
        <v>75.16</v>
      </c>
      <c r="K342" s="42">
        <f>K276</f>
        <v>75.111999999999995</v>
      </c>
      <c r="L342" s="43">
        <f>L276</f>
        <v>999.8</v>
      </c>
      <c r="M342" s="49">
        <f>M276</f>
        <v>0.49860000000000004</v>
      </c>
      <c r="N342" s="103"/>
      <c r="O342" s="21">
        <v>1.4</v>
      </c>
      <c r="P342" s="42">
        <f>P276</f>
        <v>76.788000000000011</v>
      </c>
      <c r="Q342" s="42">
        <f>Q276</f>
        <v>76.445999999999998</v>
      </c>
      <c r="R342" s="43">
        <f>R276</f>
        <v>946.6</v>
      </c>
      <c r="S342" s="49">
        <f>S276</f>
        <v>0.49640000000000006</v>
      </c>
    </row>
    <row r="343" spans="1:19" x14ac:dyDescent="0.2">
      <c r="A343" s="21"/>
      <c r="B343" s="103"/>
      <c r="C343" s="21">
        <v>1.6</v>
      </c>
      <c r="D343" s="42">
        <f>D282</f>
        <v>58.116</v>
      </c>
      <c r="E343" s="42">
        <f>E282</f>
        <v>69.445999999999998</v>
      </c>
      <c r="F343" s="43">
        <f>F282</f>
        <v>192.6</v>
      </c>
      <c r="G343" s="49">
        <f>G282</f>
        <v>0.8707999999999998</v>
      </c>
      <c r="H343" s="103"/>
      <c r="I343" s="21">
        <v>1.6</v>
      </c>
      <c r="J343" s="42">
        <f>J282</f>
        <v>71.957999999999998</v>
      </c>
      <c r="K343" s="42">
        <f>K282</f>
        <v>75.018000000000001</v>
      </c>
      <c r="L343" s="43">
        <f>L282</f>
        <v>633.79999999999995</v>
      </c>
      <c r="M343" s="49">
        <f>M282</f>
        <v>0.62200000000000011</v>
      </c>
      <c r="N343" s="103"/>
      <c r="O343" s="21">
        <v>1.6</v>
      </c>
      <c r="P343" s="42">
        <f>P282</f>
        <v>76.177999999999997</v>
      </c>
      <c r="Q343" s="42">
        <f>Q282</f>
        <v>76.515999999999991</v>
      </c>
      <c r="R343" s="43">
        <f>R282</f>
        <v>894.4</v>
      </c>
      <c r="S343" s="49">
        <f>S282</f>
        <v>0.51460000000000006</v>
      </c>
    </row>
    <row r="344" spans="1:19" x14ac:dyDescent="0.2">
      <c r="A344" s="21"/>
      <c r="B344" s="103"/>
      <c r="C344" s="21">
        <v>1.8</v>
      </c>
      <c r="D344" s="42">
        <f>D288</f>
        <v>51.013999999999996</v>
      </c>
      <c r="E344" s="42">
        <f>E288</f>
        <v>66.978000000000009</v>
      </c>
      <c r="F344" s="43">
        <f>F288</f>
        <v>25.8</v>
      </c>
      <c r="G344" s="49">
        <f>G288</f>
        <v>0.98360000000000003</v>
      </c>
      <c r="H344" s="103"/>
      <c r="I344" s="21">
        <v>1.8</v>
      </c>
      <c r="J344" s="42">
        <f>J288</f>
        <v>61.45</v>
      </c>
      <c r="K344" s="42">
        <f>K288</f>
        <v>71.111999999999995</v>
      </c>
      <c r="L344" s="43">
        <f>L288</f>
        <v>208.4</v>
      </c>
      <c r="M344" s="49">
        <f>M288</f>
        <v>0.83339999999999992</v>
      </c>
      <c r="N344" s="103"/>
      <c r="O344" s="21">
        <v>1.8</v>
      </c>
      <c r="P344" s="42">
        <f>P288</f>
        <v>68.06</v>
      </c>
      <c r="Q344" s="42">
        <f>Q288</f>
        <v>73.62</v>
      </c>
      <c r="R344" s="43">
        <f>R288</f>
        <v>437.2</v>
      </c>
      <c r="S344" s="49">
        <f>S288</f>
        <v>0.71020000000000005</v>
      </c>
    </row>
    <row r="345" spans="1:19" x14ac:dyDescent="0.2">
      <c r="A345" s="21"/>
      <c r="B345" s="101"/>
      <c r="C345" s="44">
        <v>2</v>
      </c>
      <c r="D345" s="45">
        <f>D294</f>
        <v>50.155999999999999</v>
      </c>
      <c r="E345" s="45">
        <f>E294</f>
        <v>66.715999999999994</v>
      </c>
      <c r="F345" s="46">
        <f>F294</f>
        <v>3.4</v>
      </c>
      <c r="G345" s="50">
        <f>G294</f>
        <v>0.99759999999999993</v>
      </c>
      <c r="H345" s="101"/>
      <c r="I345" s="44">
        <v>2</v>
      </c>
      <c r="J345" s="45">
        <f>J294</f>
        <v>52.681999999999995</v>
      </c>
      <c r="K345" s="45">
        <f>K294</f>
        <v>67.67</v>
      </c>
      <c r="L345" s="46">
        <f>L294</f>
        <v>39.4</v>
      </c>
      <c r="M345" s="50">
        <f>M294</f>
        <v>0.96319999999999995</v>
      </c>
      <c r="N345" s="101"/>
      <c r="O345" s="44">
        <v>2</v>
      </c>
      <c r="P345" s="45">
        <f>P294</f>
        <v>50.158000000000001</v>
      </c>
      <c r="Q345" s="45">
        <f>Q294</f>
        <v>66.736000000000004</v>
      </c>
      <c r="R345" s="46">
        <f>R294</f>
        <v>0.8</v>
      </c>
      <c r="S345" s="50">
        <f>S294</f>
        <v>0.99819999999999998</v>
      </c>
    </row>
    <row r="346" spans="1:19" x14ac:dyDescent="0.2">
      <c r="A346" s="21"/>
      <c r="B346" s="100">
        <v>16</v>
      </c>
      <c r="C346" s="39">
        <v>1</v>
      </c>
      <c r="D346" s="40">
        <f>D304</f>
        <v>73.025999999999982</v>
      </c>
      <c r="E346" s="40">
        <f>E304</f>
        <v>71.238000000000014</v>
      </c>
      <c r="F346" s="43">
        <f>F304</f>
        <v>1326.6</v>
      </c>
      <c r="G346" s="54">
        <f>G304</f>
        <v>0.43820000000000003</v>
      </c>
      <c r="H346" s="100">
        <v>16</v>
      </c>
      <c r="I346" s="39">
        <v>1</v>
      </c>
      <c r="J346" s="40">
        <f>J304</f>
        <v>75.333999999999989</v>
      </c>
      <c r="K346" s="40">
        <f>K304</f>
        <v>74.22999999999999</v>
      </c>
      <c r="L346" s="43">
        <f>L304</f>
        <v>1157</v>
      </c>
      <c r="M346" s="54">
        <f>M304</f>
        <v>0.45740000000000008</v>
      </c>
      <c r="N346" s="100">
        <v>16</v>
      </c>
      <c r="O346" s="39">
        <v>1</v>
      </c>
      <c r="P346" s="42">
        <f>P304</f>
        <v>77.407999999999987</v>
      </c>
      <c r="Q346" s="42">
        <f>Q304</f>
        <v>76.617999999999995</v>
      </c>
      <c r="R346" s="43">
        <f>R304</f>
        <v>1039</v>
      </c>
      <c r="S346" s="49">
        <f>S304</f>
        <v>0.46620000000000006</v>
      </c>
    </row>
    <row r="347" spans="1:19" x14ac:dyDescent="0.2">
      <c r="A347" s="21"/>
      <c r="B347" s="103"/>
      <c r="C347" s="21">
        <v>1.2</v>
      </c>
      <c r="D347" s="42">
        <f>D310</f>
        <v>71.907999999999987</v>
      </c>
      <c r="E347" s="42">
        <f>E310</f>
        <v>72.484000000000009</v>
      </c>
      <c r="F347" s="43">
        <f>F310</f>
        <v>1037.4000000000001</v>
      </c>
      <c r="G347" s="54">
        <f>G310</f>
        <v>0.52180000000000004</v>
      </c>
      <c r="H347" s="103"/>
      <c r="I347" s="21">
        <v>1.2</v>
      </c>
      <c r="J347" s="42">
        <f>J310</f>
        <v>75.165999999999997</v>
      </c>
      <c r="K347" s="42">
        <f>K310</f>
        <v>74.346000000000004</v>
      </c>
      <c r="L347" s="43">
        <f>L310</f>
        <v>1115.8</v>
      </c>
      <c r="M347" s="54">
        <f>M310</f>
        <v>0.46939999999999998</v>
      </c>
      <c r="N347" s="103"/>
      <c r="O347" s="21">
        <v>1.2</v>
      </c>
      <c r="P347" s="42">
        <f>P310</f>
        <v>77.128</v>
      </c>
      <c r="Q347" s="42">
        <f>Q310</f>
        <v>76.44</v>
      </c>
      <c r="R347" s="43">
        <f>R310</f>
        <v>1030</v>
      </c>
      <c r="S347" s="49">
        <f>S310</f>
        <v>0.47119999999999995</v>
      </c>
    </row>
    <row r="348" spans="1:19" x14ac:dyDescent="0.2">
      <c r="A348" s="21"/>
      <c r="B348" s="103"/>
      <c r="C348" s="21">
        <v>1.4</v>
      </c>
      <c r="D348" s="42">
        <f>D316</f>
        <v>64.805999999999997</v>
      </c>
      <c r="E348" s="42">
        <f>E316</f>
        <v>71.760000000000005</v>
      </c>
      <c r="F348" s="43">
        <f>F316</f>
        <v>430.4</v>
      </c>
      <c r="G348" s="54">
        <f>G316</f>
        <v>0.74419999999999997</v>
      </c>
      <c r="H348" s="103"/>
      <c r="I348" s="21">
        <v>1.4</v>
      </c>
      <c r="J348" s="42">
        <f>J316</f>
        <v>73.949999999999989</v>
      </c>
      <c r="K348" s="42">
        <f>K316</f>
        <v>74.33</v>
      </c>
      <c r="L348" s="43">
        <f>L316</f>
        <v>976.2</v>
      </c>
      <c r="M348" s="54">
        <f>M316</f>
        <v>0.51659999999999995</v>
      </c>
      <c r="N348" s="103"/>
      <c r="O348" s="21">
        <v>1.4</v>
      </c>
      <c r="P348" s="42">
        <f>P316</f>
        <v>76.690000000000012</v>
      </c>
      <c r="Q348" s="42">
        <f>Q316</f>
        <v>76.3</v>
      </c>
      <c r="R348" s="43">
        <f>R316</f>
        <v>996.8</v>
      </c>
      <c r="S348" s="49">
        <f>S316</f>
        <v>0.4837999999999999</v>
      </c>
    </row>
    <row r="349" spans="1:19" x14ac:dyDescent="0.2">
      <c r="A349" s="21"/>
      <c r="B349" s="103"/>
      <c r="C349" s="21">
        <v>1.6</v>
      </c>
      <c r="D349" s="42">
        <f>D322</f>
        <v>53.294000000000004</v>
      </c>
      <c r="E349" s="42">
        <f>E322</f>
        <v>67.715999999999994</v>
      </c>
      <c r="F349" s="43">
        <f>F322</f>
        <v>81.2</v>
      </c>
      <c r="G349" s="54">
        <f>G322</f>
        <v>0.94699999999999984</v>
      </c>
      <c r="H349" s="103"/>
      <c r="I349" s="21">
        <v>1.6</v>
      </c>
      <c r="J349" s="42">
        <f>J322</f>
        <v>69.33</v>
      </c>
      <c r="K349" s="42">
        <f>K322</f>
        <v>73.711999999999989</v>
      </c>
      <c r="L349" s="43">
        <f>L322</f>
        <v>533.79999999999995</v>
      </c>
      <c r="M349" s="54">
        <f>M322</f>
        <v>0.68180000000000007</v>
      </c>
      <c r="N349" s="103"/>
      <c r="O349" s="21">
        <v>1.6</v>
      </c>
      <c r="P349" s="42">
        <f>P322</f>
        <v>75.058000000000007</v>
      </c>
      <c r="Q349" s="42">
        <f>Q322</f>
        <v>76.157999999999987</v>
      </c>
      <c r="R349" s="43">
        <f>R322</f>
        <v>809</v>
      </c>
      <c r="S349" s="49">
        <f>S322</f>
        <v>0.54719999999999991</v>
      </c>
    </row>
    <row r="350" spans="1:19" x14ac:dyDescent="0.2">
      <c r="A350"/>
      <c r="B350" s="103"/>
      <c r="C350" s="21">
        <v>1.8</v>
      </c>
      <c r="D350" s="42">
        <f>D328</f>
        <v>50.195999999999998</v>
      </c>
      <c r="E350" s="42">
        <f>E328</f>
        <v>66.712000000000003</v>
      </c>
      <c r="F350" s="43">
        <f>F328</f>
        <v>7.6</v>
      </c>
      <c r="G350" s="54">
        <f>G328</f>
        <v>0.99619999999999997</v>
      </c>
      <c r="H350" s="103"/>
      <c r="I350" s="21">
        <v>1.8</v>
      </c>
      <c r="J350" s="42">
        <f>J328</f>
        <v>58.068000000000005</v>
      </c>
      <c r="K350" s="42">
        <f>K328</f>
        <v>69.641999999999996</v>
      </c>
      <c r="L350" s="43">
        <f>L328</f>
        <v>157.6</v>
      </c>
      <c r="M350" s="54">
        <f>M328</f>
        <v>0.88000000000000012</v>
      </c>
      <c r="N350" s="103"/>
      <c r="O350" s="21">
        <v>1.8</v>
      </c>
      <c r="P350" s="42">
        <f>P328</f>
        <v>65.695999999999998</v>
      </c>
      <c r="Q350" s="42">
        <f>Q328</f>
        <v>73.022000000000006</v>
      </c>
      <c r="R350" s="43">
        <f>R328</f>
        <v>289.8</v>
      </c>
      <c r="S350" s="49">
        <f>S328</f>
        <v>0.77060000000000006</v>
      </c>
    </row>
    <row r="351" spans="1:19" x14ac:dyDescent="0.2">
      <c r="A351"/>
      <c r="B351" s="101"/>
      <c r="C351" s="44">
        <v>2</v>
      </c>
      <c r="D351" s="45">
        <f>D334</f>
        <v>50.053999999999995</v>
      </c>
      <c r="E351" s="45">
        <f>E334</f>
        <v>66.686000000000007</v>
      </c>
      <c r="F351" s="46">
        <f>F334</f>
        <v>1</v>
      </c>
      <c r="G351" s="55">
        <f>G334</f>
        <v>0.999</v>
      </c>
      <c r="H351" s="101"/>
      <c r="I351" s="44">
        <v>2</v>
      </c>
      <c r="J351" s="45">
        <f>J334</f>
        <v>51.475999999999999</v>
      </c>
      <c r="K351" s="45">
        <f>K334</f>
        <v>67.22</v>
      </c>
      <c r="L351" s="46">
        <f>L334</f>
        <v>21.4</v>
      </c>
      <c r="M351" s="55">
        <f>M334</f>
        <v>0.9798</v>
      </c>
      <c r="N351" s="101"/>
      <c r="O351" s="44">
        <v>2</v>
      </c>
      <c r="P351" s="45">
        <f>P334</f>
        <v>50.608000000000004</v>
      </c>
      <c r="Q351" s="45">
        <f>Q334</f>
        <v>66.862000000000009</v>
      </c>
      <c r="R351" s="46">
        <f>R334</f>
        <v>6.8</v>
      </c>
      <c r="S351" s="50">
        <f>S334</f>
        <v>0.99260000000000004</v>
      </c>
    </row>
    <row r="353" spans="1:40" x14ac:dyDescent="0.2">
      <c r="B353" s="18" t="s">
        <v>28</v>
      </c>
      <c r="F353" s="1">
        <f>(F340-F342)/F340</f>
        <v>0.54201680672268904</v>
      </c>
      <c r="G353" s="1">
        <f>(F346-F348)/F346</f>
        <v>0.67556158600934724</v>
      </c>
    </row>
    <row r="354" spans="1:40" x14ac:dyDescent="0.2">
      <c r="B354" s="18"/>
    </row>
    <row r="355" spans="1:40" x14ac:dyDescent="0.2">
      <c r="A355" s="24" t="s">
        <v>29</v>
      </c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 spans="1:40" x14ac:dyDescent="0.2">
      <c r="B356" s="18"/>
    </row>
    <row r="357" spans="1:40" x14ac:dyDescent="0.2">
      <c r="B357" s="100" t="s">
        <v>23</v>
      </c>
      <c r="C357" s="107" t="s">
        <v>0</v>
      </c>
      <c r="D357" s="108"/>
      <c r="E357" s="108"/>
      <c r="F357" s="108"/>
      <c r="G357" s="108"/>
      <c r="H357" s="111"/>
      <c r="I357" s="103" t="s">
        <v>30</v>
      </c>
      <c r="J357" s="123"/>
      <c r="K357" s="123"/>
      <c r="L357" s="123"/>
      <c r="M357" s="103" t="s">
        <v>31</v>
      </c>
      <c r="N357" s="123"/>
      <c r="O357" s="123"/>
      <c r="P357" s="123"/>
      <c r="Q357" s="103" t="s">
        <v>32</v>
      </c>
      <c r="R357" s="123"/>
      <c r="S357" s="123"/>
      <c r="T357" s="123"/>
      <c r="U357" s="103" t="s">
        <v>33</v>
      </c>
      <c r="V357" s="123"/>
      <c r="W357" s="123"/>
      <c r="X357" s="123"/>
      <c r="Y357" s="103" t="s">
        <v>34</v>
      </c>
      <c r="Z357" s="123"/>
      <c r="AA357" s="123"/>
      <c r="AB357" s="123"/>
      <c r="AC357" s="103" t="s">
        <v>35</v>
      </c>
      <c r="AD357" s="123"/>
      <c r="AE357" s="123"/>
      <c r="AF357" s="123"/>
      <c r="AG357" s="103" t="s">
        <v>36</v>
      </c>
      <c r="AH357" s="123"/>
      <c r="AI357" s="123"/>
      <c r="AJ357" s="123"/>
      <c r="AM357" s="1" t="s">
        <v>32</v>
      </c>
      <c r="AN357" s="1" t="s">
        <v>37</v>
      </c>
    </row>
    <row r="358" spans="1:40" x14ac:dyDescent="0.2">
      <c r="B358" s="101"/>
      <c r="C358" s="19" t="s">
        <v>3</v>
      </c>
      <c r="D358" s="1" t="s">
        <v>4</v>
      </c>
      <c r="E358" s="1" t="s">
        <v>6</v>
      </c>
      <c r="F358" s="2" t="s">
        <v>7</v>
      </c>
      <c r="G358" s="1" t="s">
        <v>24</v>
      </c>
      <c r="H358" s="8" t="s">
        <v>25</v>
      </c>
      <c r="I358" s="1" t="s">
        <v>6</v>
      </c>
      <c r="J358" s="2" t="s">
        <v>7</v>
      </c>
      <c r="K358" s="1" t="s">
        <v>24</v>
      </c>
      <c r="L358" s="8" t="s">
        <v>25</v>
      </c>
      <c r="M358" s="1" t="s">
        <v>6</v>
      </c>
      <c r="N358" s="2" t="s">
        <v>7</v>
      </c>
      <c r="O358" s="1" t="s">
        <v>24</v>
      </c>
      <c r="P358" s="8" t="s">
        <v>25</v>
      </c>
      <c r="Q358" s="1" t="s">
        <v>6</v>
      </c>
      <c r="R358" s="2" t="s">
        <v>7</v>
      </c>
      <c r="S358" s="1" t="s">
        <v>24</v>
      </c>
      <c r="T358" s="8" t="s">
        <v>25</v>
      </c>
      <c r="U358" s="1" t="s">
        <v>6</v>
      </c>
      <c r="V358" s="2" t="s">
        <v>7</v>
      </c>
      <c r="W358" s="1" t="s">
        <v>24</v>
      </c>
      <c r="X358" s="8" t="s">
        <v>25</v>
      </c>
      <c r="Y358" s="1" t="s">
        <v>6</v>
      </c>
      <c r="Z358" s="2" t="s">
        <v>7</v>
      </c>
      <c r="AA358" s="1" t="s">
        <v>24</v>
      </c>
      <c r="AB358" s="8" t="s">
        <v>25</v>
      </c>
      <c r="AC358" s="1" t="s">
        <v>6</v>
      </c>
      <c r="AD358" s="2" t="s">
        <v>7</v>
      </c>
      <c r="AE358" s="1" t="s">
        <v>24</v>
      </c>
      <c r="AF358" s="8" t="s">
        <v>25</v>
      </c>
      <c r="AG358" s="1" t="s">
        <v>6</v>
      </c>
      <c r="AH358" s="2" t="s">
        <v>7</v>
      </c>
      <c r="AI358" s="1" t="s">
        <v>24</v>
      </c>
      <c r="AJ358" s="8" t="s">
        <v>25</v>
      </c>
    </row>
    <row r="359" spans="1:40" x14ac:dyDescent="0.2">
      <c r="B359" s="102">
        <v>1</v>
      </c>
      <c r="C359" s="104">
        <v>8</v>
      </c>
      <c r="D359" s="28">
        <v>13</v>
      </c>
      <c r="E359" s="25">
        <v>72.11</v>
      </c>
      <c r="F359" s="1">
        <v>71.430000000000007</v>
      </c>
      <c r="G359" s="25">
        <v>1375</v>
      </c>
      <c r="H359" s="36">
        <v>0.49</v>
      </c>
      <c r="I359" s="25">
        <v>51.42</v>
      </c>
      <c r="J359" s="1">
        <v>0.21</v>
      </c>
      <c r="K359" s="25">
        <v>4856</v>
      </c>
      <c r="L359" s="36">
        <v>1E-3</v>
      </c>
      <c r="M359" s="25">
        <v>71.319999999999993</v>
      </c>
      <c r="N359" s="1">
        <v>72.95</v>
      </c>
      <c r="O359" s="25">
        <v>994</v>
      </c>
      <c r="P359" s="36">
        <v>0.57399999999999995</v>
      </c>
      <c r="Q359" s="25">
        <v>72.12</v>
      </c>
      <c r="R359" s="1">
        <v>71</v>
      </c>
      <c r="S359" s="25">
        <v>1448</v>
      </c>
      <c r="T359" s="36">
        <v>0.47499999999999998</v>
      </c>
      <c r="U359" s="25">
        <v>72.03</v>
      </c>
      <c r="V359" s="1">
        <v>71.55</v>
      </c>
      <c r="W359" s="25">
        <v>1344</v>
      </c>
      <c r="X359" s="36">
        <v>0.497</v>
      </c>
      <c r="Y359" s="25">
        <v>72.010000000000005</v>
      </c>
      <c r="Z359" s="1">
        <v>71.37</v>
      </c>
      <c r="AA359" s="25">
        <v>1372</v>
      </c>
      <c r="AB359" s="36">
        <v>0.49199999999999999</v>
      </c>
      <c r="AC359" s="25">
        <v>72.099999999999994</v>
      </c>
      <c r="AD359" s="1">
        <v>71.400000000000006</v>
      </c>
      <c r="AE359" s="25">
        <v>1378</v>
      </c>
      <c r="AF359" s="36">
        <v>0.49</v>
      </c>
      <c r="AG359" s="25">
        <v>72.069999999999993</v>
      </c>
      <c r="AH359" s="1">
        <v>71.400000000000006</v>
      </c>
      <c r="AI359" s="25">
        <v>1375</v>
      </c>
      <c r="AJ359" s="36">
        <v>0.49</v>
      </c>
    </row>
    <row r="360" spans="1:40" x14ac:dyDescent="0.2">
      <c r="B360" s="103"/>
      <c r="C360" s="105"/>
      <c r="D360" s="29">
        <v>21</v>
      </c>
      <c r="E360" s="4">
        <v>69.900000000000006</v>
      </c>
      <c r="F360" s="4">
        <v>71.55</v>
      </c>
      <c r="G360" s="1">
        <v>1076</v>
      </c>
      <c r="H360" s="8">
        <v>0.57199999999999995</v>
      </c>
      <c r="I360" s="4">
        <v>68.099999999999994</v>
      </c>
      <c r="J360" s="4">
        <v>67.739999999999995</v>
      </c>
      <c r="K360" s="1">
        <v>1512</v>
      </c>
      <c r="L360" s="8">
        <v>0.503</v>
      </c>
      <c r="M360" s="4">
        <v>69.58</v>
      </c>
      <c r="N360" s="4">
        <v>70.400000000000006</v>
      </c>
      <c r="O360" s="1">
        <v>1244</v>
      </c>
      <c r="P360" s="8">
        <v>0.54200000000000004</v>
      </c>
      <c r="Q360" s="4">
        <v>69.84</v>
      </c>
      <c r="R360" s="4">
        <v>71.38</v>
      </c>
      <c r="S360" s="1">
        <v>1100</v>
      </c>
      <c r="T360" s="8">
        <v>0.56799999999999995</v>
      </c>
      <c r="U360" s="4">
        <v>69.86</v>
      </c>
      <c r="V360" s="4">
        <v>71.45</v>
      </c>
      <c r="W360" s="1">
        <v>1089</v>
      </c>
      <c r="X360" s="8">
        <v>0.56999999999999995</v>
      </c>
      <c r="Y360" s="4">
        <v>69.87</v>
      </c>
      <c r="Z360" s="4">
        <v>71.540000000000006</v>
      </c>
      <c r="AA360" s="1">
        <v>1074</v>
      </c>
      <c r="AB360" s="8">
        <v>0.57299999999999995</v>
      </c>
      <c r="AC360" s="4">
        <v>69.86</v>
      </c>
      <c r="AD360" s="4">
        <v>71.52</v>
      </c>
      <c r="AE360" s="1">
        <v>1076</v>
      </c>
      <c r="AF360" s="8">
        <v>0.57199999999999995</v>
      </c>
      <c r="AG360" s="4">
        <v>69.900000000000006</v>
      </c>
      <c r="AH360" s="4">
        <v>71.55</v>
      </c>
      <c r="AI360" s="1">
        <v>1076</v>
      </c>
      <c r="AJ360" s="8">
        <v>0.57199999999999995</v>
      </c>
    </row>
    <row r="361" spans="1:40" x14ac:dyDescent="0.2">
      <c r="B361" s="103"/>
      <c r="C361" s="105"/>
      <c r="D361" s="29">
        <v>47</v>
      </c>
      <c r="E361" s="4">
        <v>72.14</v>
      </c>
      <c r="F361" s="4">
        <v>70.69</v>
      </c>
      <c r="G361" s="1">
        <v>1501</v>
      </c>
      <c r="H361" s="8">
        <v>0.46500000000000002</v>
      </c>
      <c r="I361" s="4">
        <v>53.47</v>
      </c>
      <c r="J361" s="4">
        <v>8.85</v>
      </c>
      <c r="K361" s="1">
        <v>4635</v>
      </c>
      <c r="L361" s="8">
        <v>2.4E-2</v>
      </c>
      <c r="M361" s="4">
        <v>72.099999999999994</v>
      </c>
      <c r="N361" s="4">
        <v>71.61</v>
      </c>
      <c r="O361" s="1">
        <v>1343</v>
      </c>
      <c r="P361" s="8">
        <v>0.497</v>
      </c>
      <c r="Q361" s="4">
        <v>71.92</v>
      </c>
      <c r="R361" s="4">
        <v>69.7</v>
      </c>
      <c r="S361" s="1">
        <v>1631</v>
      </c>
      <c r="T361" s="8">
        <v>0.441</v>
      </c>
      <c r="U361" s="4">
        <v>72.11</v>
      </c>
      <c r="V361" s="4">
        <v>70.41</v>
      </c>
      <c r="W361" s="1">
        <v>1542</v>
      </c>
      <c r="X361" s="8">
        <v>0.45700000000000002</v>
      </c>
      <c r="Y361" s="4">
        <v>72.17</v>
      </c>
      <c r="Z361" s="4">
        <v>70.73</v>
      </c>
      <c r="AA361" s="1">
        <v>1498</v>
      </c>
      <c r="AB361" s="8">
        <v>0.46500000000000002</v>
      </c>
      <c r="AC361" s="4">
        <v>72.14</v>
      </c>
      <c r="AD361" s="4">
        <v>70.69</v>
      </c>
      <c r="AE361" s="1">
        <v>1501</v>
      </c>
      <c r="AF361" s="8">
        <v>0.46500000000000002</v>
      </c>
      <c r="AG361" s="4">
        <v>72.13</v>
      </c>
      <c r="AH361" s="4">
        <v>70.680000000000007</v>
      </c>
      <c r="AI361" s="1">
        <v>1502</v>
      </c>
      <c r="AJ361" s="8">
        <v>0.46400000000000002</v>
      </c>
    </row>
    <row r="362" spans="1:40" x14ac:dyDescent="0.2">
      <c r="B362" s="103"/>
      <c r="C362" s="105"/>
      <c r="D362" s="29">
        <v>50</v>
      </c>
      <c r="E362" s="4">
        <v>72.180000000000007</v>
      </c>
      <c r="F362" s="4">
        <v>71.44</v>
      </c>
      <c r="G362" s="1">
        <v>1381</v>
      </c>
      <c r="H362" s="8">
        <v>0.48799999999999999</v>
      </c>
      <c r="I362" s="4">
        <v>59.12</v>
      </c>
      <c r="J362" s="4">
        <v>30.9</v>
      </c>
      <c r="K362" s="1">
        <v>3947</v>
      </c>
      <c r="L362" s="8">
        <v>0.106</v>
      </c>
      <c r="M362" s="4">
        <v>71.33</v>
      </c>
      <c r="N362" s="4">
        <v>70.930000000000007</v>
      </c>
      <c r="O362" s="1">
        <v>1363</v>
      </c>
      <c r="P362" s="8">
        <v>0.5</v>
      </c>
      <c r="Q362" s="4">
        <v>72.02</v>
      </c>
      <c r="R362" s="4">
        <v>69.72</v>
      </c>
      <c r="S362" s="1">
        <v>1640</v>
      </c>
      <c r="T362" s="8">
        <v>0.438</v>
      </c>
      <c r="U362" s="4">
        <v>72.22</v>
      </c>
      <c r="V362" s="4">
        <v>71.61</v>
      </c>
      <c r="W362" s="1">
        <v>1357</v>
      </c>
      <c r="X362" s="8">
        <v>0.49299999999999999</v>
      </c>
      <c r="Y362" s="4">
        <v>72.17</v>
      </c>
      <c r="Z362" s="4">
        <v>71.44</v>
      </c>
      <c r="AA362" s="1">
        <v>1381</v>
      </c>
      <c r="AB362" s="8">
        <v>0.48799999999999999</v>
      </c>
      <c r="AC362" s="4">
        <v>72.19</v>
      </c>
      <c r="AD362" s="4">
        <v>71.459999999999994</v>
      </c>
      <c r="AE362" s="1">
        <v>1380</v>
      </c>
      <c r="AF362" s="8">
        <v>0.48799999999999999</v>
      </c>
      <c r="AG362" s="4">
        <v>72.180000000000007</v>
      </c>
      <c r="AH362" s="4">
        <v>71.44</v>
      </c>
      <c r="AI362" s="1">
        <v>1381</v>
      </c>
      <c r="AJ362" s="8">
        <v>0.48799999999999999</v>
      </c>
    </row>
    <row r="363" spans="1:40" x14ac:dyDescent="0.2">
      <c r="B363" s="103"/>
      <c r="C363" s="105"/>
      <c r="D363" s="30">
        <v>91</v>
      </c>
      <c r="E363" s="27">
        <v>72.05</v>
      </c>
      <c r="F363" s="27">
        <v>70.89</v>
      </c>
      <c r="G363" s="26">
        <v>1458</v>
      </c>
      <c r="H363" s="32">
        <v>0.47399999999999998</v>
      </c>
      <c r="I363" s="27">
        <v>61.37</v>
      </c>
      <c r="J363" s="27">
        <v>39.950000000000003</v>
      </c>
      <c r="K363" s="26">
        <v>3576</v>
      </c>
      <c r="L363" s="32">
        <v>0.157</v>
      </c>
      <c r="M363" s="27">
        <v>70.05</v>
      </c>
      <c r="N363" s="27">
        <v>65.209999999999994</v>
      </c>
      <c r="O363" s="26">
        <v>2054</v>
      </c>
      <c r="P363" s="32">
        <v>0.375</v>
      </c>
      <c r="Q363" s="27">
        <v>72.010000000000005</v>
      </c>
      <c r="R363" s="27">
        <v>71.290000000000006</v>
      </c>
      <c r="S363" s="26">
        <v>1386</v>
      </c>
      <c r="T363" s="32">
        <v>0.48899999999999999</v>
      </c>
      <c r="U363" s="27">
        <v>72.06</v>
      </c>
      <c r="V363" s="27">
        <v>70.959999999999994</v>
      </c>
      <c r="W363" s="26">
        <v>1448</v>
      </c>
      <c r="X363" s="32">
        <v>0.47599999999999998</v>
      </c>
      <c r="Y363" s="27">
        <v>72.05</v>
      </c>
      <c r="Z363" s="27">
        <v>70.790000000000006</v>
      </c>
      <c r="AA363" s="26">
        <v>1474</v>
      </c>
      <c r="AB363" s="32">
        <v>0.47099999999999997</v>
      </c>
      <c r="AC363" s="27">
        <v>72.08</v>
      </c>
      <c r="AD363" s="27">
        <v>70.92</v>
      </c>
      <c r="AE363" s="26">
        <v>1456</v>
      </c>
      <c r="AF363" s="32">
        <v>0.47399999999999998</v>
      </c>
      <c r="AG363" s="27">
        <v>72.06</v>
      </c>
      <c r="AH363" s="27">
        <v>70.92</v>
      </c>
      <c r="AI363" s="26">
        <v>1458</v>
      </c>
      <c r="AJ363" s="32">
        <v>0.47399999999999998</v>
      </c>
    </row>
    <row r="364" spans="1:40" x14ac:dyDescent="0.2">
      <c r="B364" s="101"/>
      <c r="C364" s="105"/>
      <c r="D364" s="6" t="s">
        <v>8</v>
      </c>
      <c r="E364" s="7">
        <f t="shared" ref="E364:AJ364" si="69">AVERAGE(E359:E363)</f>
        <v>71.676000000000002</v>
      </c>
      <c r="F364" s="7">
        <f t="shared" si="69"/>
        <v>71.2</v>
      </c>
      <c r="G364" s="35">
        <f t="shared" si="69"/>
        <v>1358.2</v>
      </c>
      <c r="H364" s="34">
        <f t="shared" si="69"/>
        <v>0.49779999999999996</v>
      </c>
      <c r="I364" s="7">
        <f t="shared" si="69"/>
        <v>58.696000000000005</v>
      </c>
      <c r="J364" s="7">
        <f t="shared" si="69"/>
        <v>29.529999999999994</v>
      </c>
      <c r="K364" s="35">
        <f t="shared" si="69"/>
        <v>3705.2</v>
      </c>
      <c r="L364" s="34">
        <f t="shared" si="69"/>
        <v>0.15820000000000001</v>
      </c>
      <c r="M364" s="7">
        <f t="shared" si="69"/>
        <v>70.876000000000005</v>
      </c>
      <c r="N364" s="7">
        <f t="shared" si="69"/>
        <v>70.22</v>
      </c>
      <c r="O364" s="35">
        <f t="shared" si="69"/>
        <v>1399.6</v>
      </c>
      <c r="P364" s="34">
        <f t="shared" si="69"/>
        <v>0.49759999999999999</v>
      </c>
      <c r="Q364" s="7">
        <f t="shared" si="69"/>
        <v>71.581999999999994</v>
      </c>
      <c r="R364" s="7">
        <f t="shared" si="69"/>
        <v>70.617999999999995</v>
      </c>
      <c r="S364" s="35">
        <f t="shared" si="69"/>
        <v>1441</v>
      </c>
      <c r="T364" s="34">
        <f t="shared" si="69"/>
        <v>0.48220000000000002</v>
      </c>
      <c r="U364" s="7">
        <f t="shared" si="69"/>
        <v>71.656000000000006</v>
      </c>
      <c r="V364" s="7">
        <f t="shared" si="69"/>
        <v>71.195999999999998</v>
      </c>
      <c r="W364" s="35">
        <f t="shared" si="69"/>
        <v>1356</v>
      </c>
      <c r="X364" s="34">
        <f t="shared" si="69"/>
        <v>0.49859999999999999</v>
      </c>
      <c r="Y364" s="7">
        <f t="shared" si="69"/>
        <v>71.654000000000011</v>
      </c>
      <c r="Z364" s="7">
        <f t="shared" si="69"/>
        <v>71.174000000000007</v>
      </c>
      <c r="AA364" s="35">
        <f t="shared" si="69"/>
        <v>1359.8</v>
      </c>
      <c r="AB364" s="34">
        <f t="shared" si="69"/>
        <v>0.49779999999999996</v>
      </c>
      <c r="AC364" s="7">
        <f t="shared" si="69"/>
        <v>71.673999999999992</v>
      </c>
      <c r="AD364" s="7">
        <f t="shared" si="69"/>
        <v>71.198000000000008</v>
      </c>
      <c r="AE364" s="35">
        <f t="shared" si="69"/>
        <v>1358.2</v>
      </c>
      <c r="AF364" s="34">
        <f t="shared" si="69"/>
        <v>0.49779999999999996</v>
      </c>
      <c r="AG364" s="7">
        <f t="shared" si="69"/>
        <v>71.667999999999992</v>
      </c>
      <c r="AH364" s="7">
        <f t="shared" si="69"/>
        <v>71.198000000000008</v>
      </c>
      <c r="AI364" s="35">
        <f t="shared" si="69"/>
        <v>1358.4</v>
      </c>
      <c r="AJ364" s="34">
        <f t="shared" si="69"/>
        <v>0.49759999999999993</v>
      </c>
      <c r="AM364" s="1">
        <f>(E364-Q364)*100/E364</f>
        <v>0.13114571125622007</v>
      </c>
      <c r="AN364" s="1">
        <f>(E364-U364)*100/E364</f>
        <v>2.790334282046434E-2</v>
      </c>
    </row>
    <row r="365" spans="1:40" x14ac:dyDescent="0.2">
      <c r="B365" s="104">
        <v>1.2</v>
      </c>
      <c r="C365" s="105"/>
      <c r="D365" s="28">
        <v>13</v>
      </c>
      <c r="E365" s="25">
        <v>71.84</v>
      </c>
      <c r="F365" s="25">
        <v>71.459999999999994</v>
      </c>
      <c r="G365" s="25">
        <v>1335</v>
      </c>
      <c r="H365" s="31">
        <v>0.501</v>
      </c>
      <c r="I365" s="25">
        <v>48.64</v>
      </c>
      <c r="J365" s="25">
        <v>65.430000000000007</v>
      </c>
      <c r="K365" s="25">
        <v>0</v>
      </c>
      <c r="L365" s="31">
        <v>0.999</v>
      </c>
      <c r="M365" s="25">
        <v>70.69</v>
      </c>
      <c r="N365" s="25">
        <v>67.400000000000006</v>
      </c>
      <c r="O365" s="25">
        <v>1831</v>
      </c>
      <c r="P365" s="31">
        <v>0.41299999999999998</v>
      </c>
      <c r="Q365" s="25">
        <v>71.58</v>
      </c>
      <c r="R365" s="25">
        <v>73.25</v>
      </c>
      <c r="S365" s="25">
        <v>969</v>
      </c>
      <c r="T365" s="31">
        <v>0.57499999999999996</v>
      </c>
      <c r="U365" s="25">
        <v>71.790000000000006</v>
      </c>
      <c r="V365" s="25">
        <v>71.23</v>
      </c>
      <c r="W365" s="25">
        <v>1368</v>
      </c>
      <c r="X365" s="31">
        <v>0.495</v>
      </c>
      <c r="Y365" s="25">
        <v>71.89</v>
      </c>
      <c r="Z365" s="25">
        <v>71.64</v>
      </c>
      <c r="AA365" s="25">
        <v>1311</v>
      </c>
      <c r="AB365" s="31">
        <v>0.505</v>
      </c>
      <c r="AC365" s="25">
        <v>71.83</v>
      </c>
      <c r="AD365" s="25">
        <v>71.459999999999994</v>
      </c>
      <c r="AE365" s="25">
        <v>1334</v>
      </c>
      <c r="AF365" s="31">
        <v>0.501</v>
      </c>
      <c r="AG365" s="25">
        <v>71.84</v>
      </c>
      <c r="AH365" s="25">
        <v>71.47</v>
      </c>
      <c r="AI365" s="25">
        <v>1334</v>
      </c>
      <c r="AJ365" s="31">
        <v>0.501</v>
      </c>
    </row>
    <row r="366" spans="1:40" x14ac:dyDescent="0.2">
      <c r="B366" s="105"/>
      <c r="C366" s="105"/>
      <c r="D366" s="29">
        <v>21</v>
      </c>
      <c r="E366" s="4">
        <v>70.22</v>
      </c>
      <c r="F366" s="4">
        <v>71.25</v>
      </c>
      <c r="G366" s="1">
        <v>1170</v>
      </c>
      <c r="H366" s="33">
        <v>0.55000000000000004</v>
      </c>
      <c r="I366" s="4">
        <v>69.69</v>
      </c>
      <c r="J366" s="4">
        <v>71.650000000000006</v>
      </c>
      <c r="K366" s="1">
        <v>1031</v>
      </c>
      <c r="L366" s="33">
        <v>0.58299999999999996</v>
      </c>
      <c r="M366" s="4">
        <v>69.77</v>
      </c>
      <c r="N366" s="4">
        <v>72.430000000000007</v>
      </c>
      <c r="O366" s="1">
        <v>891</v>
      </c>
      <c r="P366" s="33">
        <v>0.61</v>
      </c>
      <c r="Q366" s="4">
        <v>70.19</v>
      </c>
      <c r="R366" s="4">
        <v>71.34</v>
      </c>
      <c r="S366" s="1">
        <v>1150</v>
      </c>
      <c r="T366" s="33">
        <v>0.55400000000000005</v>
      </c>
      <c r="U366" s="4">
        <v>70.209999999999994</v>
      </c>
      <c r="V366" s="4">
        <v>71.3</v>
      </c>
      <c r="W366" s="1">
        <v>1161</v>
      </c>
      <c r="X366" s="33">
        <v>0.55200000000000005</v>
      </c>
      <c r="Y366" s="4">
        <v>70.22</v>
      </c>
      <c r="Z366" s="4">
        <v>71.23</v>
      </c>
      <c r="AA366" s="1">
        <v>1175</v>
      </c>
      <c r="AB366" s="33">
        <v>0.54900000000000004</v>
      </c>
      <c r="AC366" s="4">
        <v>70.22</v>
      </c>
      <c r="AD366" s="4">
        <v>71.27</v>
      </c>
      <c r="AE366" s="1">
        <v>1168</v>
      </c>
      <c r="AF366" s="33">
        <v>0.55000000000000004</v>
      </c>
      <c r="AG366" s="4">
        <v>70.22</v>
      </c>
      <c r="AH366" s="4">
        <v>71.25</v>
      </c>
      <c r="AI366" s="1">
        <v>1170</v>
      </c>
      <c r="AJ366" s="33">
        <v>0.54900000000000004</v>
      </c>
    </row>
    <row r="367" spans="1:40" x14ac:dyDescent="0.2">
      <c r="B367" s="105"/>
      <c r="C367" s="105"/>
      <c r="D367" s="29">
        <v>47</v>
      </c>
      <c r="E367" s="4">
        <v>71.67</v>
      </c>
      <c r="F367" s="4">
        <v>72.34</v>
      </c>
      <c r="G367" s="1">
        <v>1156</v>
      </c>
      <c r="H367" s="8">
        <v>0.53800000000000003</v>
      </c>
      <c r="I367" s="4">
        <v>55.11</v>
      </c>
      <c r="J367" s="4">
        <v>68.17</v>
      </c>
      <c r="K367" s="1">
        <v>53</v>
      </c>
      <c r="L367" s="8">
        <v>0.92400000000000004</v>
      </c>
      <c r="M367" s="4">
        <v>70.989999999999995</v>
      </c>
      <c r="N367" s="4">
        <v>73.91</v>
      </c>
      <c r="O367" s="1">
        <v>752</v>
      </c>
      <c r="P367" s="8">
        <v>0.626</v>
      </c>
      <c r="Q367" s="4">
        <v>71.61</v>
      </c>
      <c r="R367" s="4">
        <v>71.98</v>
      </c>
      <c r="S367" s="1">
        <v>1215</v>
      </c>
      <c r="T367" s="8">
        <v>0.52700000000000002</v>
      </c>
      <c r="U367" s="4">
        <v>71.64</v>
      </c>
      <c r="V367" s="4">
        <v>72.19</v>
      </c>
      <c r="W367" s="1">
        <v>1181</v>
      </c>
      <c r="X367" s="8">
        <v>0.53400000000000003</v>
      </c>
      <c r="Y367" s="4">
        <v>71.650000000000006</v>
      </c>
      <c r="Z367" s="4">
        <v>72.349999999999994</v>
      </c>
      <c r="AA367" s="1">
        <v>1151</v>
      </c>
      <c r="AB367" s="8">
        <v>0.53900000000000003</v>
      </c>
      <c r="AC367" s="4">
        <v>71.67</v>
      </c>
      <c r="AD367" s="4">
        <v>72.34</v>
      </c>
      <c r="AE367" s="1">
        <v>1156</v>
      </c>
      <c r="AF367" s="8">
        <v>0.53800000000000003</v>
      </c>
      <c r="AG367" s="4">
        <v>71.67</v>
      </c>
      <c r="AH367" s="4">
        <v>72.34</v>
      </c>
      <c r="AI367" s="1">
        <v>1156</v>
      </c>
      <c r="AJ367" s="8">
        <v>0.53800000000000003</v>
      </c>
    </row>
    <row r="368" spans="1:40" x14ac:dyDescent="0.2">
      <c r="B368" s="105"/>
      <c r="C368" s="105"/>
      <c r="D368" s="29">
        <v>50</v>
      </c>
      <c r="E368" s="4">
        <v>70.52</v>
      </c>
      <c r="F368" s="4">
        <v>73.09</v>
      </c>
      <c r="G368" s="1">
        <v>858</v>
      </c>
      <c r="H368" s="8">
        <v>0.60899999999999999</v>
      </c>
      <c r="I368" s="4">
        <v>68.930000000000007</v>
      </c>
      <c r="J368" s="4">
        <v>67.430000000000007</v>
      </c>
      <c r="K368" s="1">
        <v>1645</v>
      </c>
      <c r="L368" s="8">
        <v>0.46800000000000003</v>
      </c>
      <c r="M368" s="4">
        <v>70.069999999999993</v>
      </c>
      <c r="N368" s="4">
        <v>72.69</v>
      </c>
      <c r="O368" s="1">
        <v>878</v>
      </c>
      <c r="P368" s="8">
        <v>0.61</v>
      </c>
      <c r="Q368" s="4">
        <v>70.959999999999994</v>
      </c>
      <c r="R368" s="4">
        <v>71.87</v>
      </c>
      <c r="S368" s="1">
        <v>1152</v>
      </c>
      <c r="T368" s="8">
        <v>0.54600000000000004</v>
      </c>
      <c r="U368" s="4">
        <v>70.510000000000005</v>
      </c>
      <c r="V368" s="4">
        <v>73.37</v>
      </c>
      <c r="W368" s="1">
        <v>798</v>
      </c>
      <c r="X368" s="8">
        <v>0.621</v>
      </c>
      <c r="Y368" s="4">
        <v>70.5</v>
      </c>
      <c r="Z368" s="4">
        <v>73.040000000000006</v>
      </c>
      <c r="AA368" s="1">
        <v>865</v>
      </c>
      <c r="AB368" s="8">
        <v>0.60899999999999999</v>
      </c>
      <c r="AC368" s="4">
        <v>70.52</v>
      </c>
      <c r="AD368" s="4">
        <v>73.09</v>
      </c>
      <c r="AE368" s="1">
        <v>858</v>
      </c>
      <c r="AF368" s="8">
        <v>0.60899999999999999</v>
      </c>
      <c r="AG368" s="4">
        <v>70.52</v>
      </c>
      <c r="AH368" s="4">
        <v>73.09</v>
      </c>
      <c r="AI368" s="1">
        <v>858</v>
      </c>
      <c r="AJ368" s="8">
        <v>0.60899999999999999</v>
      </c>
    </row>
    <row r="369" spans="2:40" x14ac:dyDescent="0.2">
      <c r="B369" s="105"/>
      <c r="C369" s="105"/>
      <c r="D369" s="30">
        <v>91</v>
      </c>
      <c r="E369" s="27">
        <v>71.77</v>
      </c>
      <c r="F369" s="27">
        <v>72.12</v>
      </c>
      <c r="G369" s="26">
        <v>1209</v>
      </c>
      <c r="H369" s="32">
        <v>0.52700000000000002</v>
      </c>
      <c r="I369" s="27">
        <v>70.53</v>
      </c>
      <c r="J369" s="27">
        <v>68.81</v>
      </c>
      <c r="K369" s="26">
        <v>1610</v>
      </c>
      <c r="L369" s="32">
        <v>0.45900000000000002</v>
      </c>
      <c r="M369" s="27">
        <v>65.290000000000006</v>
      </c>
      <c r="N369" s="27">
        <v>51.91</v>
      </c>
      <c r="O369" s="26">
        <v>2988</v>
      </c>
      <c r="P369" s="32">
        <v>0.23599999999999999</v>
      </c>
      <c r="Q369" s="27">
        <v>71.47</v>
      </c>
      <c r="R369" s="27">
        <v>72.53</v>
      </c>
      <c r="S369" s="26">
        <v>1095</v>
      </c>
      <c r="T369" s="32">
        <v>0.55200000000000005</v>
      </c>
      <c r="U369" s="27">
        <v>71.819999999999993</v>
      </c>
      <c r="V369" s="27">
        <v>71.83</v>
      </c>
      <c r="W369" s="26">
        <v>1269</v>
      </c>
      <c r="X369" s="32">
        <v>0.51400000000000001</v>
      </c>
      <c r="Y369" s="27">
        <v>71.739999999999995</v>
      </c>
      <c r="Z369" s="27">
        <v>72.099999999999994</v>
      </c>
      <c r="AA369" s="26">
        <v>1209</v>
      </c>
      <c r="AB369" s="32">
        <v>0.52700000000000002</v>
      </c>
      <c r="AC369" s="27">
        <v>71.790000000000006</v>
      </c>
      <c r="AD369" s="27">
        <v>72.14</v>
      </c>
      <c r="AE369" s="26">
        <v>1209</v>
      </c>
      <c r="AF369" s="32">
        <v>0.52600000000000002</v>
      </c>
      <c r="AG369" s="27">
        <v>71.760000000000005</v>
      </c>
      <c r="AH369" s="27">
        <v>72.12</v>
      </c>
      <c r="AI369" s="26">
        <v>1209</v>
      </c>
      <c r="AJ369" s="32">
        <v>0.52700000000000002</v>
      </c>
    </row>
    <row r="370" spans="2:40" x14ac:dyDescent="0.2">
      <c r="B370" s="106"/>
      <c r="C370" s="105"/>
      <c r="D370" s="6" t="s">
        <v>8</v>
      </c>
      <c r="E370" s="7">
        <f t="shared" ref="E370:AJ370" si="70">AVERAGE(E365:E369)</f>
        <v>71.203999999999994</v>
      </c>
      <c r="F370" s="7">
        <f t="shared" si="70"/>
        <v>72.051999999999992</v>
      </c>
      <c r="G370" s="35">
        <f t="shared" si="70"/>
        <v>1145.5999999999999</v>
      </c>
      <c r="H370" s="34">
        <f t="shared" si="70"/>
        <v>0.54500000000000015</v>
      </c>
      <c r="I370" s="7">
        <f t="shared" si="70"/>
        <v>62.58</v>
      </c>
      <c r="J370" s="7">
        <f t="shared" si="70"/>
        <v>68.298000000000002</v>
      </c>
      <c r="K370" s="35">
        <f t="shared" si="70"/>
        <v>867.8</v>
      </c>
      <c r="L370" s="34">
        <f t="shared" si="70"/>
        <v>0.68659999999999999</v>
      </c>
      <c r="M370" s="7">
        <f t="shared" si="70"/>
        <v>69.361999999999995</v>
      </c>
      <c r="N370" s="7">
        <f t="shared" si="70"/>
        <v>67.668000000000006</v>
      </c>
      <c r="O370" s="35">
        <f t="shared" si="70"/>
        <v>1468</v>
      </c>
      <c r="P370" s="34">
        <f t="shared" si="70"/>
        <v>0.499</v>
      </c>
      <c r="Q370" s="7">
        <f t="shared" si="70"/>
        <v>71.161999999999992</v>
      </c>
      <c r="R370" s="7">
        <f t="shared" si="70"/>
        <v>72.194000000000003</v>
      </c>
      <c r="S370" s="35">
        <f t="shared" si="70"/>
        <v>1116.2</v>
      </c>
      <c r="T370" s="34">
        <f t="shared" si="70"/>
        <v>0.55079999999999996</v>
      </c>
      <c r="U370" s="7">
        <f t="shared" si="70"/>
        <v>71.193999999999988</v>
      </c>
      <c r="V370" s="7">
        <f t="shared" si="70"/>
        <v>71.984000000000009</v>
      </c>
      <c r="W370" s="35">
        <f t="shared" si="70"/>
        <v>1155.4000000000001</v>
      </c>
      <c r="X370" s="34">
        <f t="shared" si="70"/>
        <v>0.54320000000000002</v>
      </c>
      <c r="Y370" s="7">
        <f t="shared" si="70"/>
        <v>71.2</v>
      </c>
      <c r="Z370" s="7">
        <f t="shared" si="70"/>
        <v>72.072000000000003</v>
      </c>
      <c r="AA370" s="35">
        <f t="shared" si="70"/>
        <v>1142.2</v>
      </c>
      <c r="AB370" s="34">
        <f t="shared" si="70"/>
        <v>0.54580000000000006</v>
      </c>
      <c r="AC370" s="7">
        <f t="shared" si="70"/>
        <v>71.206000000000003</v>
      </c>
      <c r="AD370" s="7">
        <f t="shared" si="70"/>
        <v>72.059999999999988</v>
      </c>
      <c r="AE370" s="35">
        <f t="shared" si="70"/>
        <v>1145</v>
      </c>
      <c r="AF370" s="34">
        <f t="shared" si="70"/>
        <v>0.54480000000000006</v>
      </c>
      <c r="AG370" s="7">
        <f t="shared" si="70"/>
        <v>71.201999999999998</v>
      </c>
      <c r="AH370" s="7">
        <f t="shared" si="70"/>
        <v>72.054000000000002</v>
      </c>
      <c r="AI370" s="35">
        <f t="shared" si="70"/>
        <v>1145.4000000000001</v>
      </c>
      <c r="AJ370" s="34">
        <f t="shared" si="70"/>
        <v>0.54480000000000006</v>
      </c>
      <c r="AM370" s="1">
        <f>(E370-Q370)*100/E370</f>
        <v>5.8985450255605858E-2</v>
      </c>
      <c r="AN370" s="1">
        <f>(E370-U370)*100/E370</f>
        <v>1.4044154822769953E-2</v>
      </c>
    </row>
    <row r="371" spans="2:40" x14ac:dyDescent="0.2">
      <c r="B371" s="104">
        <v>1.4</v>
      </c>
      <c r="C371" s="105"/>
      <c r="D371" s="28">
        <v>13</v>
      </c>
      <c r="E371" s="25">
        <v>68.52</v>
      </c>
      <c r="F371" s="25">
        <v>74.02</v>
      </c>
      <c r="G371" s="25">
        <v>377</v>
      </c>
      <c r="H371" s="31">
        <v>0.72599999999999998</v>
      </c>
      <c r="I371" s="25">
        <v>69.59</v>
      </c>
      <c r="J371" s="25">
        <v>74.06</v>
      </c>
      <c r="K371" s="25">
        <v>521</v>
      </c>
      <c r="L371" s="31">
        <v>0.68600000000000005</v>
      </c>
      <c r="M371" s="25">
        <v>65.760000000000005</v>
      </c>
      <c r="N371" s="25">
        <v>73.09</v>
      </c>
      <c r="O371" s="25">
        <v>211</v>
      </c>
      <c r="P371" s="31">
        <v>0.78600000000000003</v>
      </c>
      <c r="Q371" s="25">
        <v>66.48</v>
      </c>
      <c r="R371" s="25">
        <v>73.34</v>
      </c>
      <c r="S371" s="25">
        <v>250</v>
      </c>
      <c r="T371" s="31">
        <v>0.77100000000000002</v>
      </c>
      <c r="U371" s="25">
        <v>68.209999999999994</v>
      </c>
      <c r="V371" s="25">
        <v>73.91</v>
      </c>
      <c r="W371" s="25">
        <v>359</v>
      </c>
      <c r="X371" s="31">
        <v>0.73199999999999998</v>
      </c>
      <c r="Y371" s="25">
        <v>68.540000000000006</v>
      </c>
      <c r="Z371" s="25">
        <v>74.03</v>
      </c>
      <c r="AA371" s="25">
        <v>377</v>
      </c>
      <c r="AB371" s="31">
        <v>0.72499999999999998</v>
      </c>
      <c r="AC371" s="25">
        <v>68.52</v>
      </c>
      <c r="AD371" s="25">
        <v>74.02</v>
      </c>
      <c r="AE371" s="25">
        <v>377</v>
      </c>
      <c r="AF371" s="31">
        <v>0.72599999999999998</v>
      </c>
      <c r="AG371" s="25">
        <v>68.53</v>
      </c>
      <c r="AH371" s="25">
        <v>74.02</v>
      </c>
      <c r="AI371" s="25">
        <v>377</v>
      </c>
      <c r="AJ371" s="31">
        <v>0.72499999999999998</v>
      </c>
    </row>
    <row r="372" spans="2:40" x14ac:dyDescent="0.2">
      <c r="B372" s="105"/>
      <c r="C372" s="105"/>
      <c r="D372" s="29">
        <v>21</v>
      </c>
      <c r="E372" s="4">
        <v>67.680000000000007</v>
      </c>
      <c r="F372" s="4">
        <v>73.19</v>
      </c>
      <c r="G372" s="1">
        <v>449</v>
      </c>
      <c r="H372" s="33">
        <v>0.72</v>
      </c>
      <c r="I372" s="4">
        <v>55.86</v>
      </c>
      <c r="J372" s="4">
        <v>17.34</v>
      </c>
      <c r="K372" s="1">
        <v>4398</v>
      </c>
      <c r="L372" s="33">
        <v>4.8000000000000001E-2</v>
      </c>
      <c r="M372" s="4">
        <v>68.72</v>
      </c>
      <c r="N372" s="4">
        <v>63.84</v>
      </c>
      <c r="O372" s="1">
        <v>2100</v>
      </c>
      <c r="P372" s="33">
        <v>0.379</v>
      </c>
      <c r="Q372" s="4">
        <v>66.86</v>
      </c>
      <c r="R372" s="4">
        <v>73</v>
      </c>
      <c r="S372" s="1">
        <v>380</v>
      </c>
      <c r="T372" s="33">
        <v>0.74199999999999999</v>
      </c>
      <c r="U372" s="4">
        <v>67.95</v>
      </c>
      <c r="V372" s="4">
        <v>73.22</v>
      </c>
      <c r="W372" s="1">
        <v>480</v>
      </c>
      <c r="X372" s="33">
        <v>0.71099999999999997</v>
      </c>
      <c r="Y372" s="4">
        <v>67.75</v>
      </c>
      <c r="Z372" s="4">
        <v>73.22</v>
      </c>
      <c r="AA372" s="1">
        <v>453</v>
      </c>
      <c r="AB372" s="33">
        <v>0.71799999999999997</v>
      </c>
      <c r="AC372" s="4">
        <v>67.680000000000007</v>
      </c>
      <c r="AD372" s="4">
        <v>73.19</v>
      </c>
      <c r="AE372" s="1">
        <v>449</v>
      </c>
      <c r="AF372" s="33">
        <v>0.72</v>
      </c>
      <c r="AG372" s="4">
        <v>67.680000000000007</v>
      </c>
      <c r="AH372" s="4">
        <v>73.19</v>
      </c>
      <c r="AI372" s="1">
        <v>449</v>
      </c>
      <c r="AJ372" s="33">
        <v>0.72</v>
      </c>
    </row>
    <row r="373" spans="2:40" x14ac:dyDescent="0.2">
      <c r="B373" s="105"/>
      <c r="C373" s="105"/>
      <c r="D373" s="29">
        <v>47</v>
      </c>
      <c r="E373" s="4">
        <v>69.569999999999993</v>
      </c>
      <c r="F373" s="4">
        <v>73.849999999999994</v>
      </c>
      <c r="G373" s="1">
        <v>565</v>
      </c>
      <c r="H373" s="8">
        <v>0.67700000000000005</v>
      </c>
      <c r="I373" s="4">
        <v>50.56</v>
      </c>
      <c r="J373" s="4">
        <v>66.290000000000006</v>
      </c>
      <c r="K373" s="1">
        <v>0</v>
      </c>
      <c r="L373" s="8">
        <v>0.98099999999999998</v>
      </c>
      <c r="M373" s="4">
        <v>71.010000000000005</v>
      </c>
      <c r="N373" s="4">
        <v>71.44</v>
      </c>
      <c r="O373" s="1">
        <v>1236</v>
      </c>
      <c r="P373" s="8">
        <v>0.52900000000000003</v>
      </c>
      <c r="Q373" s="4">
        <v>69.39</v>
      </c>
      <c r="R373" s="4">
        <v>73.88</v>
      </c>
      <c r="S373" s="1">
        <v>533</v>
      </c>
      <c r="T373" s="8">
        <v>0.68600000000000005</v>
      </c>
      <c r="U373" s="4">
        <v>69.5</v>
      </c>
      <c r="V373" s="4">
        <v>73.84</v>
      </c>
      <c r="W373" s="1">
        <v>556</v>
      </c>
      <c r="X373" s="8">
        <v>0.68</v>
      </c>
      <c r="Y373" s="4">
        <v>69.569999999999993</v>
      </c>
      <c r="Z373" s="4">
        <v>73.86</v>
      </c>
      <c r="AA373" s="1">
        <v>561</v>
      </c>
      <c r="AB373" s="8">
        <v>0.67800000000000005</v>
      </c>
      <c r="AC373" s="4">
        <v>69.540000000000006</v>
      </c>
      <c r="AD373" s="4">
        <v>73.81</v>
      </c>
      <c r="AE373" s="1">
        <v>568</v>
      </c>
      <c r="AF373" s="8">
        <v>0.67700000000000005</v>
      </c>
      <c r="AG373" s="4">
        <v>69.569999999999993</v>
      </c>
      <c r="AH373" s="4">
        <v>73.849999999999994</v>
      </c>
      <c r="AI373" s="1">
        <v>565</v>
      </c>
      <c r="AJ373" s="8">
        <v>0.67700000000000005</v>
      </c>
    </row>
    <row r="374" spans="2:40" x14ac:dyDescent="0.2">
      <c r="B374" s="105"/>
      <c r="C374" s="105"/>
      <c r="D374" s="29">
        <v>50</v>
      </c>
      <c r="E374" s="4">
        <v>70.23</v>
      </c>
      <c r="F374" s="4">
        <v>73.38</v>
      </c>
      <c r="G374" s="1">
        <v>758</v>
      </c>
      <c r="H374" s="8">
        <v>0.63200000000000001</v>
      </c>
      <c r="I374" s="4">
        <v>65.650000000000006</v>
      </c>
      <c r="J374" s="4">
        <v>73.010000000000005</v>
      </c>
      <c r="K374" s="1">
        <v>215</v>
      </c>
      <c r="L374" s="8">
        <v>0.78700000000000003</v>
      </c>
      <c r="M374" s="4">
        <v>70.650000000000006</v>
      </c>
      <c r="N374" s="4">
        <v>71.489999999999995</v>
      </c>
      <c r="O374" s="1">
        <v>1182</v>
      </c>
      <c r="P374" s="8">
        <v>0.54300000000000004</v>
      </c>
      <c r="Q374" s="4">
        <v>70.489999999999995</v>
      </c>
      <c r="R374" s="4">
        <v>73.05</v>
      </c>
      <c r="S374" s="1">
        <v>861</v>
      </c>
      <c r="T374" s="8">
        <v>0.60899999999999999</v>
      </c>
      <c r="U374" s="4">
        <v>70.2</v>
      </c>
      <c r="V374" s="4">
        <v>73.37</v>
      </c>
      <c r="W374" s="1">
        <v>756</v>
      </c>
      <c r="X374" s="8">
        <v>0.63300000000000001</v>
      </c>
      <c r="Y374" s="4">
        <v>70.22</v>
      </c>
      <c r="Z374" s="4">
        <v>73.39</v>
      </c>
      <c r="AA374" s="1">
        <v>754</v>
      </c>
      <c r="AB374" s="8">
        <v>0.63300000000000001</v>
      </c>
      <c r="AC374" s="4">
        <v>70.23</v>
      </c>
      <c r="AD374" s="4">
        <v>73.38</v>
      </c>
      <c r="AE374" s="1">
        <v>758</v>
      </c>
      <c r="AF374" s="8">
        <v>0.63200000000000001</v>
      </c>
      <c r="AG374" s="4">
        <v>70.23</v>
      </c>
      <c r="AH374" s="4">
        <v>73.38</v>
      </c>
      <c r="AI374" s="1">
        <v>758</v>
      </c>
      <c r="AJ374" s="8">
        <v>0.63200000000000001</v>
      </c>
    </row>
    <row r="375" spans="2:40" x14ac:dyDescent="0.2">
      <c r="B375" s="105"/>
      <c r="C375" s="105"/>
      <c r="D375" s="30">
        <v>91</v>
      </c>
      <c r="E375" s="27">
        <v>69.11</v>
      </c>
      <c r="F375" s="27">
        <v>73.5</v>
      </c>
      <c r="G375" s="26">
        <v>578</v>
      </c>
      <c r="H375" s="32">
        <v>0.67900000000000005</v>
      </c>
      <c r="I375" s="27">
        <v>64.680000000000007</v>
      </c>
      <c r="J375" s="27">
        <v>72.63</v>
      </c>
      <c r="K375" s="26">
        <v>175</v>
      </c>
      <c r="L375" s="32">
        <v>0.80400000000000005</v>
      </c>
      <c r="M375" s="27">
        <v>60.56</v>
      </c>
      <c r="N375" s="27">
        <v>70.8</v>
      </c>
      <c r="O375" s="26">
        <v>80</v>
      </c>
      <c r="P375" s="32">
        <v>0.86399999999999999</v>
      </c>
      <c r="Q375" s="27">
        <v>69.11</v>
      </c>
      <c r="R375" s="27">
        <v>73.56</v>
      </c>
      <c r="S375" s="26">
        <v>564</v>
      </c>
      <c r="T375" s="32">
        <v>0.68200000000000005</v>
      </c>
      <c r="U375" s="27">
        <v>69.319999999999993</v>
      </c>
      <c r="V375" s="27">
        <v>73.56</v>
      </c>
      <c r="W375" s="26">
        <v>564</v>
      </c>
      <c r="X375" s="32">
        <v>0.68200000000000005</v>
      </c>
      <c r="Y375" s="27">
        <v>69.13</v>
      </c>
      <c r="Z375" s="27">
        <v>73.53</v>
      </c>
      <c r="AA375" s="26">
        <v>573</v>
      </c>
      <c r="AB375" s="32">
        <v>0.68</v>
      </c>
      <c r="AC375" s="27">
        <v>69.11</v>
      </c>
      <c r="AD375" s="27">
        <v>73.5</v>
      </c>
      <c r="AE375" s="26">
        <v>578</v>
      </c>
      <c r="AF375" s="32">
        <v>0.67900000000000005</v>
      </c>
      <c r="AG375" s="27">
        <v>69.11</v>
      </c>
      <c r="AH375" s="27">
        <v>73.5</v>
      </c>
      <c r="AI375" s="26">
        <v>577</v>
      </c>
      <c r="AJ375" s="32">
        <v>0.68</v>
      </c>
    </row>
    <row r="376" spans="2:40" x14ac:dyDescent="0.2">
      <c r="B376" s="106"/>
      <c r="C376" s="106"/>
      <c r="D376" s="6" t="s">
        <v>8</v>
      </c>
      <c r="E376" s="7">
        <f t="shared" ref="E376:AJ376" si="71">AVERAGE(E371:E375)</f>
        <v>69.022000000000006</v>
      </c>
      <c r="F376" s="7">
        <f t="shared" si="71"/>
        <v>73.587999999999994</v>
      </c>
      <c r="G376" s="35">
        <f t="shared" si="71"/>
        <v>545.4</v>
      </c>
      <c r="H376" s="34">
        <f t="shared" si="71"/>
        <v>0.68680000000000008</v>
      </c>
      <c r="I376" s="7">
        <f t="shared" si="71"/>
        <v>61.268000000000008</v>
      </c>
      <c r="J376" s="7">
        <f t="shared" si="71"/>
        <v>60.665999999999997</v>
      </c>
      <c r="K376" s="35">
        <f t="shared" si="71"/>
        <v>1061.8</v>
      </c>
      <c r="L376" s="34">
        <f t="shared" si="71"/>
        <v>0.66120000000000001</v>
      </c>
      <c r="M376" s="7">
        <f t="shared" si="71"/>
        <v>67.34</v>
      </c>
      <c r="N376" s="7">
        <f t="shared" si="71"/>
        <v>70.132000000000005</v>
      </c>
      <c r="O376" s="35">
        <f t="shared" si="71"/>
        <v>961.8</v>
      </c>
      <c r="P376" s="34">
        <f t="shared" si="71"/>
        <v>0.62019999999999997</v>
      </c>
      <c r="Q376" s="7">
        <f t="shared" si="71"/>
        <v>68.466000000000008</v>
      </c>
      <c r="R376" s="7">
        <f t="shared" si="71"/>
        <v>73.366</v>
      </c>
      <c r="S376" s="35">
        <f t="shared" si="71"/>
        <v>517.6</v>
      </c>
      <c r="T376" s="34">
        <f t="shared" si="71"/>
        <v>0.69799999999999995</v>
      </c>
      <c r="U376" s="7">
        <f t="shared" si="71"/>
        <v>69.036000000000001</v>
      </c>
      <c r="V376" s="7">
        <f t="shared" si="71"/>
        <v>73.580000000000013</v>
      </c>
      <c r="W376" s="35">
        <f t="shared" si="71"/>
        <v>543</v>
      </c>
      <c r="X376" s="34">
        <f t="shared" si="71"/>
        <v>0.68759999999999999</v>
      </c>
      <c r="Y376" s="7">
        <f t="shared" si="71"/>
        <v>69.042000000000002</v>
      </c>
      <c r="Z376" s="7">
        <f t="shared" si="71"/>
        <v>73.605999999999995</v>
      </c>
      <c r="AA376" s="35">
        <f t="shared" si="71"/>
        <v>543.6</v>
      </c>
      <c r="AB376" s="34">
        <f t="shared" si="71"/>
        <v>0.68680000000000008</v>
      </c>
      <c r="AC376" s="7">
        <f t="shared" si="71"/>
        <v>69.016000000000005</v>
      </c>
      <c r="AD376" s="7">
        <f t="shared" si="71"/>
        <v>73.58</v>
      </c>
      <c r="AE376" s="35">
        <f t="shared" si="71"/>
        <v>546</v>
      </c>
      <c r="AF376" s="34">
        <f t="shared" si="71"/>
        <v>0.68680000000000008</v>
      </c>
      <c r="AG376" s="7">
        <f t="shared" si="71"/>
        <v>69.024000000000001</v>
      </c>
      <c r="AH376" s="7">
        <f t="shared" si="71"/>
        <v>73.587999999999994</v>
      </c>
      <c r="AI376" s="35">
        <f t="shared" si="71"/>
        <v>545.20000000000005</v>
      </c>
      <c r="AJ376" s="34">
        <f t="shared" si="71"/>
        <v>0.68680000000000008</v>
      </c>
      <c r="AM376" s="1">
        <f>(E376-Q376)*100/E376</f>
        <v>0.80554026252498823</v>
      </c>
      <c r="AN376" s="1">
        <f>(E376-U376)*100/E376</f>
        <v>-2.028338790529946E-2</v>
      </c>
    </row>
    <row r="377" spans="2:40" x14ac:dyDescent="0.2">
      <c r="B377" s="102">
        <v>1</v>
      </c>
      <c r="C377" s="104">
        <v>16</v>
      </c>
      <c r="D377" s="28">
        <v>13</v>
      </c>
      <c r="E377" s="25">
        <v>75.209999999999994</v>
      </c>
      <c r="F377" s="1">
        <v>76.09</v>
      </c>
      <c r="G377" s="25">
        <v>917</v>
      </c>
      <c r="H377" s="31">
        <v>0.55100000000000005</v>
      </c>
      <c r="I377" s="25">
        <v>50.63</v>
      </c>
      <c r="J377" s="1">
        <v>66.319999999999993</v>
      </c>
      <c r="K377" s="25">
        <v>0</v>
      </c>
      <c r="L377" s="31">
        <v>0.98</v>
      </c>
      <c r="M377" s="25">
        <v>71.53</v>
      </c>
      <c r="N377" s="1">
        <v>74.81</v>
      </c>
      <c r="O377" s="25">
        <v>634</v>
      </c>
      <c r="P377" s="31">
        <v>0.64400000000000002</v>
      </c>
      <c r="Q377" s="25">
        <v>74.69</v>
      </c>
      <c r="R377" s="1">
        <v>75.25</v>
      </c>
      <c r="S377" s="25">
        <v>1014</v>
      </c>
      <c r="T377" s="31">
        <v>0.54600000000000004</v>
      </c>
      <c r="U377" s="25">
        <v>74.180000000000007</v>
      </c>
      <c r="V377" s="1">
        <v>75.459999999999994</v>
      </c>
      <c r="W377" s="25">
        <v>892</v>
      </c>
      <c r="X377" s="31">
        <v>0.56599999999999995</v>
      </c>
      <c r="Y377" s="25">
        <v>74.53</v>
      </c>
      <c r="Z377" s="1">
        <v>75.430000000000007</v>
      </c>
      <c r="AA377" s="25">
        <v>951</v>
      </c>
      <c r="AB377" s="31">
        <v>0.55100000000000005</v>
      </c>
      <c r="AC377" s="25">
        <v>74.55</v>
      </c>
      <c r="AD377" s="1">
        <v>75.44</v>
      </c>
      <c r="AE377" s="25">
        <v>953</v>
      </c>
      <c r="AF377" s="31">
        <v>0.55000000000000004</v>
      </c>
      <c r="AG377" s="25">
        <v>74.540000000000006</v>
      </c>
      <c r="AH377" s="1">
        <v>75.430000000000007</v>
      </c>
      <c r="AI377" s="25">
        <v>953</v>
      </c>
      <c r="AJ377" s="31">
        <v>0.55000000000000004</v>
      </c>
    </row>
    <row r="378" spans="2:40" x14ac:dyDescent="0.2">
      <c r="B378" s="103"/>
      <c r="C378" s="105"/>
      <c r="D378" s="29">
        <v>21</v>
      </c>
      <c r="E378" s="4">
        <v>75.5</v>
      </c>
      <c r="F378" s="4">
        <v>74.930000000000007</v>
      </c>
      <c r="G378" s="1">
        <v>1200</v>
      </c>
      <c r="H378" s="8">
        <v>0.49099999999999999</v>
      </c>
      <c r="I378" s="4">
        <v>48.63</v>
      </c>
      <c r="J378" s="4">
        <v>65.430000000000007</v>
      </c>
      <c r="K378" s="1">
        <v>0</v>
      </c>
      <c r="L378" s="8">
        <v>0.999</v>
      </c>
      <c r="M378" s="4">
        <v>73.599999999999994</v>
      </c>
      <c r="N378" s="4">
        <v>71.17</v>
      </c>
      <c r="O378" s="1">
        <v>1603</v>
      </c>
      <c r="P378" s="8">
        <v>0.43</v>
      </c>
      <c r="Q378" s="4">
        <v>74.37</v>
      </c>
      <c r="R378" s="4">
        <v>74.489999999999995</v>
      </c>
      <c r="S378" s="1">
        <v>1118</v>
      </c>
      <c r="T378" s="8">
        <v>0.51900000000000002</v>
      </c>
      <c r="U378" s="4">
        <v>74.5</v>
      </c>
      <c r="V378" s="4">
        <v>74.27</v>
      </c>
      <c r="W378" s="1">
        <v>1180</v>
      </c>
      <c r="X378" s="8">
        <v>0.505</v>
      </c>
      <c r="Y378" s="4">
        <v>74.58</v>
      </c>
      <c r="Z378" s="4">
        <v>74.11</v>
      </c>
      <c r="AA378" s="1">
        <v>1222</v>
      </c>
      <c r="AB378" s="8">
        <v>0.496</v>
      </c>
      <c r="AC378" s="4">
        <v>74.62</v>
      </c>
      <c r="AD378" s="4">
        <v>74.17</v>
      </c>
      <c r="AE378" s="1">
        <v>1218</v>
      </c>
      <c r="AF378" s="8">
        <v>0.496</v>
      </c>
      <c r="AG378" s="4">
        <v>74.56</v>
      </c>
      <c r="AH378" s="4">
        <v>74.069999999999993</v>
      </c>
      <c r="AI378" s="1">
        <v>1227</v>
      </c>
      <c r="AJ378" s="8">
        <v>0.495</v>
      </c>
    </row>
    <row r="379" spans="2:40" x14ac:dyDescent="0.2">
      <c r="B379" s="103"/>
      <c r="C379" s="105"/>
      <c r="D379" s="29">
        <v>47</v>
      </c>
      <c r="E379" s="4">
        <v>75.94</v>
      </c>
      <c r="F379" s="4">
        <v>75.540000000000006</v>
      </c>
      <c r="G379" s="1">
        <v>1146</v>
      </c>
      <c r="H379" s="8">
        <v>0.498</v>
      </c>
      <c r="I379" s="4">
        <v>51.39</v>
      </c>
      <c r="J379" s="4"/>
      <c r="K379" s="1">
        <v>4861</v>
      </c>
      <c r="L379" s="8">
        <v>0</v>
      </c>
      <c r="M379" s="4">
        <v>69.97</v>
      </c>
      <c r="N379" s="4">
        <v>74.86</v>
      </c>
      <c r="O379" s="1">
        <v>391</v>
      </c>
      <c r="P379" s="8">
        <v>0.70799999999999996</v>
      </c>
      <c r="Q379" s="4">
        <v>74.319999999999993</v>
      </c>
      <c r="R379" s="4">
        <v>73.260000000000005</v>
      </c>
      <c r="S379" s="1">
        <v>1344</v>
      </c>
      <c r="T379" s="8">
        <v>0.47399999999999998</v>
      </c>
      <c r="U379" s="4">
        <v>74.67</v>
      </c>
      <c r="V379" s="4">
        <v>74.540000000000006</v>
      </c>
      <c r="W379" s="1">
        <v>1153</v>
      </c>
      <c r="X379" s="8">
        <v>0.50900000000000001</v>
      </c>
      <c r="Y379" s="4">
        <v>74.540000000000006</v>
      </c>
      <c r="Z379" s="4">
        <v>74.08</v>
      </c>
      <c r="AA379" s="1">
        <v>1222</v>
      </c>
      <c r="AB379" s="8">
        <v>0.496</v>
      </c>
      <c r="AC379" s="4">
        <v>74.5</v>
      </c>
      <c r="AD379" s="4">
        <v>74.12</v>
      </c>
      <c r="AE379" s="1">
        <v>1209</v>
      </c>
      <c r="AF379" s="8">
        <v>0.499</v>
      </c>
      <c r="AG379" s="4">
        <v>74.5</v>
      </c>
      <c r="AH379" s="4">
        <v>74.12</v>
      </c>
      <c r="AI379" s="1">
        <v>1209</v>
      </c>
      <c r="AJ379" s="8">
        <v>0.499</v>
      </c>
    </row>
    <row r="380" spans="2:40" x14ac:dyDescent="0.2">
      <c r="B380" s="103"/>
      <c r="C380" s="105"/>
      <c r="D380" s="29">
        <v>50</v>
      </c>
      <c r="E380" s="4">
        <v>75.680000000000007</v>
      </c>
      <c r="F380" s="4">
        <v>75.5</v>
      </c>
      <c r="G380" s="1">
        <v>1114</v>
      </c>
      <c r="H380" s="8">
        <v>0.50700000000000001</v>
      </c>
      <c r="I380" s="4">
        <v>48.66</v>
      </c>
      <c r="J380" s="4">
        <v>65.44</v>
      </c>
      <c r="K380" s="1">
        <v>0</v>
      </c>
      <c r="L380" s="8">
        <v>0.999</v>
      </c>
      <c r="M380" s="4">
        <v>72.38</v>
      </c>
      <c r="N380" s="4">
        <v>67.760000000000005</v>
      </c>
      <c r="O380" s="1">
        <v>1961</v>
      </c>
      <c r="P380" s="8">
        <v>0.37</v>
      </c>
      <c r="Q380" s="4">
        <v>74.290000000000006</v>
      </c>
      <c r="R380" s="4">
        <v>72.930000000000007</v>
      </c>
      <c r="S380" s="1">
        <v>1397</v>
      </c>
      <c r="T380" s="8">
        <v>0.46400000000000002</v>
      </c>
      <c r="U380" s="4">
        <v>74.5</v>
      </c>
      <c r="V380" s="4">
        <v>74.77</v>
      </c>
      <c r="W380" s="1">
        <v>1083</v>
      </c>
      <c r="X380" s="8">
        <v>0.52500000000000002</v>
      </c>
      <c r="Y380" s="4">
        <v>74.64</v>
      </c>
      <c r="Z380" s="4">
        <v>74.489999999999995</v>
      </c>
      <c r="AA380" s="1">
        <v>1159</v>
      </c>
      <c r="AB380" s="8">
        <v>0.50800000000000001</v>
      </c>
      <c r="AC380" s="4">
        <v>74.61</v>
      </c>
      <c r="AD380" s="4">
        <v>74.52</v>
      </c>
      <c r="AE380" s="1">
        <v>1150</v>
      </c>
      <c r="AF380" s="8">
        <v>0.51</v>
      </c>
      <c r="AG380" s="4">
        <v>74.61</v>
      </c>
      <c r="AH380" s="4">
        <v>74.52</v>
      </c>
      <c r="AI380" s="1">
        <v>1150</v>
      </c>
      <c r="AJ380" s="8">
        <v>0.51</v>
      </c>
    </row>
    <row r="381" spans="2:40" x14ac:dyDescent="0.2">
      <c r="B381" s="103"/>
      <c r="C381" s="105"/>
      <c r="D381" s="30">
        <v>91</v>
      </c>
      <c r="E381" s="27">
        <v>75.59</v>
      </c>
      <c r="F381" s="27">
        <v>73.680000000000007</v>
      </c>
      <c r="G381" s="26">
        <v>1445</v>
      </c>
      <c r="H381" s="32">
        <v>0.441</v>
      </c>
      <c r="I381" s="27">
        <v>51.39</v>
      </c>
      <c r="J381" s="27"/>
      <c r="K381" s="26">
        <v>4861</v>
      </c>
      <c r="L381" s="32">
        <v>0</v>
      </c>
      <c r="M381" s="27">
        <v>58.22</v>
      </c>
      <c r="N381" s="27">
        <v>27.21</v>
      </c>
      <c r="O381" s="26">
        <v>4080</v>
      </c>
      <c r="P381" s="32">
        <v>8.7999999999999995E-2</v>
      </c>
      <c r="Q381" s="27">
        <v>74.64</v>
      </c>
      <c r="R381" s="27">
        <v>73.569999999999993</v>
      </c>
      <c r="S381" s="26">
        <v>1332</v>
      </c>
      <c r="T381" s="32">
        <v>0.47299999999999998</v>
      </c>
      <c r="U381" s="27">
        <v>74.17</v>
      </c>
      <c r="V381" s="27">
        <v>71.69</v>
      </c>
      <c r="W381" s="26">
        <v>1591</v>
      </c>
      <c r="X381" s="32">
        <v>0.42599999999999999</v>
      </c>
      <c r="Y381" s="27">
        <v>74.33</v>
      </c>
      <c r="Z381" s="27">
        <v>72.319999999999993</v>
      </c>
      <c r="AA381" s="26">
        <v>1507</v>
      </c>
      <c r="AB381" s="32">
        <v>0.441</v>
      </c>
      <c r="AC381" s="27">
        <v>74.290000000000006</v>
      </c>
      <c r="AD381" s="27">
        <v>72.260000000000005</v>
      </c>
      <c r="AE381" s="26">
        <v>1514</v>
      </c>
      <c r="AF381" s="32">
        <v>0.441</v>
      </c>
      <c r="AG381" s="27">
        <v>74.34</v>
      </c>
      <c r="AH381" s="27">
        <v>72.33</v>
      </c>
      <c r="AI381" s="26">
        <v>1508</v>
      </c>
      <c r="AJ381" s="32">
        <v>0.441</v>
      </c>
    </row>
    <row r="382" spans="2:40" x14ac:dyDescent="0.2">
      <c r="B382" s="101"/>
      <c r="C382" s="105"/>
      <c r="D382" s="6" t="s">
        <v>8</v>
      </c>
      <c r="E382" s="7">
        <f t="shared" ref="E382:AJ382" si="72">AVERAGE(E377:E381)</f>
        <v>75.583999999999989</v>
      </c>
      <c r="F382" s="7">
        <f t="shared" si="72"/>
        <v>75.147999999999996</v>
      </c>
      <c r="G382" s="35">
        <f t="shared" si="72"/>
        <v>1164.4000000000001</v>
      </c>
      <c r="H382" s="34">
        <f t="shared" si="72"/>
        <v>0.49759999999999999</v>
      </c>
      <c r="I382" s="7">
        <f t="shared" si="72"/>
        <v>50.14</v>
      </c>
      <c r="J382" s="7">
        <f t="shared" si="72"/>
        <v>65.73</v>
      </c>
      <c r="K382" s="35">
        <f t="shared" si="72"/>
        <v>1944.4</v>
      </c>
      <c r="L382" s="34">
        <f t="shared" si="72"/>
        <v>0.59560000000000002</v>
      </c>
      <c r="M382" s="7">
        <f t="shared" si="72"/>
        <v>69.140000000000015</v>
      </c>
      <c r="N382" s="7">
        <f t="shared" si="72"/>
        <v>63.161999999999999</v>
      </c>
      <c r="O382" s="35">
        <f t="shared" si="72"/>
        <v>1733.8</v>
      </c>
      <c r="P382" s="34">
        <f t="shared" si="72"/>
        <v>0.44800000000000006</v>
      </c>
      <c r="Q382" s="7">
        <f t="shared" si="72"/>
        <v>74.462000000000003</v>
      </c>
      <c r="R382" s="7">
        <f t="shared" si="72"/>
        <v>73.900000000000006</v>
      </c>
      <c r="S382" s="35">
        <f t="shared" si="72"/>
        <v>1241</v>
      </c>
      <c r="T382" s="34">
        <f t="shared" si="72"/>
        <v>0.49519999999999997</v>
      </c>
      <c r="U382" s="7">
        <f t="shared" si="72"/>
        <v>74.404000000000011</v>
      </c>
      <c r="V382" s="7">
        <f t="shared" si="72"/>
        <v>74.145999999999987</v>
      </c>
      <c r="W382" s="35">
        <f t="shared" si="72"/>
        <v>1179.8</v>
      </c>
      <c r="X382" s="34">
        <f t="shared" si="72"/>
        <v>0.50619999999999998</v>
      </c>
      <c r="Y382" s="7">
        <f t="shared" si="72"/>
        <v>74.524000000000001</v>
      </c>
      <c r="Z382" s="7">
        <f t="shared" si="72"/>
        <v>74.085999999999999</v>
      </c>
      <c r="AA382" s="35">
        <f t="shared" si="72"/>
        <v>1212.2</v>
      </c>
      <c r="AB382" s="34">
        <f t="shared" si="72"/>
        <v>0.49840000000000001</v>
      </c>
      <c r="AC382" s="7">
        <f t="shared" si="72"/>
        <v>74.51400000000001</v>
      </c>
      <c r="AD382" s="7">
        <f t="shared" si="72"/>
        <v>74.102000000000004</v>
      </c>
      <c r="AE382" s="35">
        <f t="shared" si="72"/>
        <v>1208.8</v>
      </c>
      <c r="AF382" s="34">
        <f t="shared" si="72"/>
        <v>0.49919999999999992</v>
      </c>
      <c r="AG382" s="7">
        <f t="shared" si="72"/>
        <v>74.510000000000019</v>
      </c>
      <c r="AH382" s="7">
        <f t="shared" si="72"/>
        <v>74.093999999999994</v>
      </c>
      <c r="AI382" s="35">
        <f t="shared" si="72"/>
        <v>1209.4000000000001</v>
      </c>
      <c r="AJ382" s="34">
        <f t="shared" si="72"/>
        <v>0.499</v>
      </c>
      <c r="AM382" s="1">
        <f>(E382-Q382)*100/E382</f>
        <v>1.4844411515664504</v>
      </c>
      <c r="AN382" s="1">
        <f>(E382-U382)*100/E382</f>
        <v>1.5611769686705899</v>
      </c>
    </row>
    <row r="383" spans="2:40" x14ac:dyDescent="0.2">
      <c r="B383" s="104">
        <v>1.2</v>
      </c>
      <c r="C383" s="105"/>
      <c r="D383" s="28">
        <v>13</v>
      </c>
      <c r="E383" s="25">
        <v>73.930000000000007</v>
      </c>
      <c r="F383" s="25">
        <v>75.63</v>
      </c>
      <c r="G383" s="25">
        <v>815</v>
      </c>
      <c r="H383" s="31">
        <v>0.58399999999999996</v>
      </c>
      <c r="I383" s="25">
        <v>48.98</v>
      </c>
      <c r="J383" s="25">
        <v>65.58</v>
      </c>
      <c r="K383" s="25">
        <v>0</v>
      </c>
      <c r="L383" s="31">
        <v>0.996</v>
      </c>
      <c r="M383" s="25">
        <v>73.430000000000007</v>
      </c>
      <c r="N383" s="25">
        <v>72.900000000000006</v>
      </c>
      <c r="O383" s="25">
        <v>1288</v>
      </c>
      <c r="P383" s="31">
        <v>0.49399999999999999</v>
      </c>
      <c r="Q383" s="25">
        <v>72.2</v>
      </c>
      <c r="R383" s="25">
        <v>74.69</v>
      </c>
      <c r="S383" s="25">
        <v>760</v>
      </c>
      <c r="T383" s="31">
        <v>0.61199999999999999</v>
      </c>
      <c r="U383" s="25">
        <v>72.28</v>
      </c>
      <c r="V383" s="25">
        <v>74.599999999999994</v>
      </c>
      <c r="W383" s="25">
        <v>869</v>
      </c>
      <c r="X383" s="31">
        <v>0.58399999999999996</v>
      </c>
      <c r="Y383" s="25">
        <v>72.86</v>
      </c>
      <c r="Z383" s="25">
        <v>74.540000000000006</v>
      </c>
      <c r="AA383" s="25">
        <v>889</v>
      </c>
      <c r="AB383" s="31">
        <v>0.57999999999999996</v>
      </c>
      <c r="AC383" s="25">
        <v>72.89</v>
      </c>
      <c r="AD383" s="25">
        <v>74.459999999999994</v>
      </c>
      <c r="AE383" s="25">
        <v>910</v>
      </c>
      <c r="AF383" s="31">
        <v>0.57499999999999996</v>
      </c>
      <c r="AG383" s="25">
        <v>72.88</v>
      </c>
      <c r="AH383" s="25">
        <v>74.48</v>
      </c>
      <c r="AI383" s="25">
        <v>904</v>
      </c>
      <c r="AJ383" s="31">
        <v>0.57699999999999996</v>
      </c>
    </row>
    <row r="384" spans="2:40" x14ac:dyDescent="0.2">
      <c r="B384" s="105"/>
      <c r="C384" s="105"/>
      <c r="D384" s="29">
        <v>21</v>
      </c>
      <c r="E384" s="4">
        <v>75.34</v>
      </c>
      <c r="F384" s="4">
        <v>75.59</v>
      </c>
      <c r="G384" s="1">
        <v>1043</v>
      </c>
      <c r="H384" s="8">
        <v>0.52400000000000002</v>
      </c>
      <c r="I384" s="4">
        <v>51.39</v>
      </c>
      <c r="J384" s="4"/>
      <c r="K384" s="1">
        <v>4861</v>
      </c>
      <c r="L384" s="8">
        <v>0</v>
      </c>
      <c r="M384" s="4">
        <v>66.88</v>
      </c>
      <c r="N384" s="4">
        <v>54.22</v>
      </c>
      <c r="O384" s="1">
        <v>2900</v>
      </c>
      <c r="P384" s="8">
        <v>0.23699999999999999</v>
      </c>
      <c r="Q384" s="4">
        <v>73.87</v>
      </c>
      <c r="R384" s="4">
        <v>74.98</v>
      </c>
      <c r="S384" s="1">
        <v>945</v>
      </c>
      <c r="T384" s="8">
        <v>0.55800000000000005</v>
      </c>
      <c r="U384" s="4">
        <v>74.05</v>
      </c>
      <c r="V384" s="4">
        <v>74.650000000000006</v>
      </c>
      <c r="W384" s="1">
        <v>1040</v>
      </c>
      <c r="X384" s="8">
        <v>0.53800000000000003</v>
      </c>
      <c r="Y384" s="4">
        <v>73.86</v>
      </c>
      <c r="Z384" s="4">
        <v>74.59</v>
      </c>
      <c r="AA384" s="1">
        <v>1025</v>
      </c>
      <c r="AB384" s="8">
        <v>0.54300000000000004</v>
      </c>
      <c r="AC384" s="4">
        <v>73.89</v>
      </c>
      <c r="AD384" s="4">
        <v>74.650000000000006</v>
      </c>
      <c r="AE384" s="1">
        <v>1016</v>
      </c>
      <c r="AF384" s="8">
        <v>0.54400000000000004</v>
      </c>
      <c r="AG384" s="4">
        <v>73.849999999999994</v>
      </c>
      <c r="AH384" s="4">
        <v>74.63</v>
      </c>
      <c r="AI384" s="1">
        <v>1014</v>
      </c>
      <c r="AJ384" s="8">
        <v>0.54500000000000004</v>
      </c>
    </row>
    <row r="385" spans="2:40" x14ac:dyDescent="0.2">
      <c r="B385" s="105"/>
      <c r="C385" s="105"/>
      <c r="D385" s="29">
        <v>47</v>
      </c>
      <c r="E385" s="4">
        <v>75.47</v>
      </c>
      <c r="F385" s="4">
        <v>76.430000000000007</v>
      </c>
      <c r="G385" s="1">
        <v>883</v>
      </c>
      <c r="H385" s="8">
        <v>0.55500000000000005</v>
      </c>
      <c r="I385" s="4">
        <v>74.09</v>
      </c>
      <c r="J385" s="4">
        <v>75.349999999999994</v>
      </c>
      <c r="K385" s="1">
        <v>900</v>
      </c>
      <c r="L385" s="8">
        <v>0.56499999999999995</v>
      </c>
      <c r="M385" s="4">
        <v>74.989999999999995</v>
      </c>
      <c r="N385" s="4">
        <v>74.5</v>
      </c>
      <c r="O385" s="1">
        <v>1208</v>
      </c>
      <c r="P385" s="8">
        <v>0.495</v>
      </c>
      <c r="Q385" s="4">
        <v>74.62</v>
      </c>
      <c r="R385" s="4">
        <v>75.709999999999994</v>
      </c>
      <c r="S385" s="1">
        <v>1209</v>
      </c>
      <c r="T385" s="8">
        <v>0.64100000000000001</v>
      </c>
      <c r="U385" s="4">
        <v>74.72</v>
      </c>
      <c r="V385" s="4">
        <v>75.62</v>
      </c>
      <c r="W385" s="1">
        <v>593</v>
      </c>
      <c r="X385" s="8">
        <v>0.55100000000000005</v>
      </c>
      <c r="Y385" s="4">
        <v>74.510000000000005</v>
      </c>
      <c r="Z385" s="4">
        <v>75.540000000000006</v>
      </c>
      <c r="AA385" s="1">
        <v>924</v>
      </c>
      <c r="AB385" s="8">
        <v>0.55600000000000005</v>
      </c>
      <c r="AC385" s="4">
        <v>74.47</v>
      </c>
      <c r="AD385" s="4">
        <v>75.52</v>
      </c>
      <c r="AE385" s="1">
        <v>923</v>
      </c>
      <c r="AF385" s="8">
        <v>0.55700000000000005</v>
      </c>
      <c r="AG385" s="4">
        <v>74.45</v>
      </c>
      <c r="AH385" s="4">
        <v>75.510000000000005</v>
      </c>
      <c r="AI385" s="1">
        <v>923</v>
      </c>
      <c r="AJ385" s="8">
        <v>0.55700000000000005</v>
      </c>
    </row>
    <row r="386" spans="2:40" x14ac:dyDescent="0.2">
      <c r="B386" s="105"/>
      <c r="C386" s="105"/>
      <c r="D386" s="29">
        <v>50</v>
      </c>
      <c r="E386" s="4">
        <v>75.31</v>
      </c>
      <c r="F386" s="4">
        <v>74.989999999999995</v>
      </c>
      <c r="G386" s="1">
        <v>1160</v>
      </c>
      <c r="H386" s="8">
        <v>0.501</v>
      </c>
      <c r="I386" s="4">
        <v>69.319999999999993</v>
      </c>
      <c r="J386" s="4">
        <v>73.89</v>
      </c>
      <c r="K386" s="1">
        <v>520</v>
      </c>
      <c r="L386" s="8">
        <v>0.68899999999999995</v>
      </c>
      <c r="M386" s="4">
        <v>71.77</v>
      </c>
      <c r="N386" s="4">
        <v>66.75</v>
      </c>
      <c r="O386" s="1">
        <v>2027</v>
      </c>
      <c r="P386" s="8">
        <v>0.36299999999999999</v>
      </c>
      <c r="Q386" s="4">
        <v>74.349999999999994</v>
      </c>
      <c r="R386" s="4">
        <v>73.64</v>
      </c>
      <c r="S386" s="1">
        <v>1278</v>
      </c>
      <c r="T386" s="8">
        <v>0.48699999999999999</v>
      </c>
      <c r="U386" s="4">
        <v>74.47</v>
      </c>
      <c r="V386" s="4">
        <v>73.86</v>
      </c>
      <c r="W386" s="1">
        <v>1255</v>
      </c>
      <c r="X386" s="8">
        <v>0.49</v>
      </c>
      <c r="Y386" s="4">
        <v>74.349999999999994</v>
      </c>
      <c r="Z386" s="4">
        <v>73.959999999999994</v>
      </c>
      <c r="AA386" s="1">
        <v>1219</v>
      </c>
      <c r="AB386" s="8">
        <v>0.499</v>
      </c>
      <c r="AC386" s="4">
        <v>74.400000000000006</v>
      </c>
      <c r="AD386" s="4">
        <v>73.989999999999995</v>
      </c>
      <c r="AE386" s="1">
        <v>1220</v>
      </c>
      <c r="AF386" s="8">
        <v>0.498</v>
      </c>
      <c r="AG386" s="4">
        <v>74.33</v>
      </c>
      <c r="AH386" s="4">
        <v>73.94</v>
      </c>
      <c r="AI386" s="1">
        <v>1219</v>
      </c>
      <c r="AJ386" s="8">
        <v>0.499</v>
      </c>
    </row>
    <row r="387" spans="2:40" x14ac:dyDescent="0.2">
      <c r="B387" s="105"/>
      <c r="C387" s="105"/>
      <c r="D387" s="30">
        <v>91</v>
      </c>
      <c r="E387" s="27">
        <v>75.97</v>
      </c>
      <c r="F387" s="27">
        <v>76.010000000000005</v>
      </c>
      <c r="G387" s="26">
        <v>1055</v>
      </c>
      <c r="H387" s="32">
        <v>0.51500000000000001</v>
      </c>
      <c r="I387" s="27">
        <v>50.63</v>
      </c>
      <c r="J387" s="27">
        <v>66.319999999999993</v>
      </c>
      <c r="K387" s="26">
        <v>0</v>
      </c>
      <c r="L387" s="32">
        <v>0.97899999999999998</v>
      </c>
      <c r="M387" s="27">
        <v>70.3</v>
      </c>
      <c r="N387" s="27">
        <v>75.040000000000006</v>
      </c>
      <c r="O387" s="26">
        <v>396</v>
      </c>
      <c r="P387" s="32">
        <v>0.70399999999999996</v>
      </c>
      <c r="Q387" s="27">
        <v>74.87</v>
      </c>
      <c r="R387" s="27">
        <v>74.27</v>
      </c>
      <c r="S387" s="26">
        <v>1234</v>
      </c>
      <c r="T387" s="32">
        <v>0.49099999999999999</v>
      </c>
      <c r="U387" s="27">
        <v>75</v>
      </c>
      <c r="V387" s="27">
        <v>75.17</v>
      </c>
      <c r="W387" s="26">
        <v>1077</v>
      </c>
      <c r="X387" s="32">
        <v>0.52100000000000002</v>
      </c>
      <c r="Y387" s="27">
        <v>74.930000000000007</v>
      </c>
      <c r="Z387" s="27">
        <v>74.989999999999995</v>
      </c>
      <c r="AA387" s="26">
        <v>1102</v>
      </c>
      <c r="AB387" s="32">
        <v>0.51600000000000001</v>
      </c>
      <c r="AC387" s="27">
        <v>74.930000000000007</v>
      </c>
      <c r="AD387" s="27">
        <v>74.989999999999995</v>
      </c>
      <c r="AE387" s="26">
        <v>1102</v>
      </c>
      <c r="AF387" s="32">
        <v>0.51600000000000001</v>
      </c>
      <c r="AG387" s="27">
        <v>74.95</v>
      </c>
      <c r="AH387" s="27">
        <v>75.02</v>
      </c>
      <c r="AI387" s="26">
        <v>1100</v>
      </c>
      <c r="AJ387" s="32">
        <v>0.51600000000000001</v>
      </c>
    </row>
    <row r="388" spans="2:40" x14ac:dyDescent="0.2">
      <c r="B388" s="106"/>
      <c r="C388" s="105"/>
      <c r="D388" s="6" t="s">
        <v>8</v>
      </c>
      <c r="E388" s="7">
        <f t="shared" ref="E388:AJ388" si="73">AVERAGE(E383:E387)</f>
        <v>75.203999999999994</v>
      </c>
      <c r="F388" s="7">
        <f t="shared" si="73"/>
        <v>75.72999999999999</v>
      </c>
      <c r="G388" s="35">
        <f t="shared" si="73"/>
        <v>991.2</v>
      </c>
      <c r="H388" s="34">
        <f t="shared" si="73"/>
        <v>0.53580000000000005</v>
      </c>
      <c r="I388" s="7">
        <f t="shared" si="73"/>
        <v>58.882000000000005</v>
      </c>
      <c r="J388" s="7">
        <f t="shared" si="73"/>
        <v>70.284999999999997</v>
      </c>
      <c r="K388" s="35">
        <f t="shared" si="73"/>
        <v>1256.2</v>
      </c>
      <c r="L388" s="34">
        <f t="shared" si="73"/>
        <v>0.64580000000000004</v>
      </c>
      <c r="M388" s="7">
        <f t="shared" si="73"/>
        <v>71.474000000000004</v>
      </c>
      <c r="N388" s="7">
        <f t="shared" si="73"/>
        <v>68.682000000000002</v>
      </c>
      <c r="O388" s="35">
        <f t="shared" si="73"/>
        <v>1563.8</v>
      </c>
      <c r="P388" s="34">
        <f t="shared" si="73"/>
        <v>0.45860000000000001</v>
      </c>
      <c r="Q388" s="7">
        <f t="shared" si="73"/>
        <v>73.981999999999999</v>
      </c>
      <c r="R388" s="7">
        <f t="shared" si="73"/>
        <v>74.657999999999987</v>
      </c>
      <c r="S388" s="35">
        <f t="shared" si="73"/>
        <v>1085.2</v>
      </c>
      <c r="T388" s="34">
        <f t="shared" si="73"/>
        <v>0.55780000000000007</v>
      </c>
      <c r="U388" s="7">
        <f t="shared" si="73"/>
        <v>74.103999999999999</v>
      </c>
      <c r="V388" s="7">
        <f t="shared" si="73"/>
        <v>74.78</v>
      </c>
      <c r="W388" s="35">
        <f t="shared" si="73"/>
        <v>966.8</v>
      </c>
      <c r="X388" s="34">
        <f t="shared" si="73"/>
        <v>0.53680000000000005</v>
      </c>
      <c r="Y388" s="7">
        <f t="shared" si="73"/>
        <v>74.102000000000004</v>
      </c>
      <c r="Z388" s="7">
        <f t="shared" si="73"/>
        <v>74.724000000000004</v>
      </c>
      <c r="AA388" s="35">
        <f t="shared" si="73"/>
        <v>1031.8</v>
      </c>
      <c r="AB388" s="34">
        <f t="shared" si="73"/>
        <v>0.53879999999999995</v>
      </c>
      <c r="AC388" s="7">
        <f t="shared" si="73"/>
        <v>74.116</v>
      </c>
      <c r="AD388" s="7">
        <f t="shared" si="73"/>
        <v>74.722000000000008</v>
      </c>
      <c r="AE388" s="35">
        <f t="shared" si="73"/>
        <v>1034.2</v>
      </c>
      <c r="AF388" s="34">
        <f t="shared" si="73"/>
        <v>0.53800000000000003</v>
      </c>
      <c r="AG388" s="7">
        <f t="shared" si="73"/>
        <v>74.091999999999999</v>
      </c>
      <c r="AH388" s="7">
        <f t="shared" si="73"/>
        <v>74.715999999999994</v>
      </c>
      <c r="AI388" s="35">
        <f t="shared" si="73"/>
        <v>1032</v>
      </c>
      <c r="AJ388" s="34">
        <f t="shared" si="73"/>
        <v>0.53879999999999995</v>
      </c>
      <c r="AM388" s="1">
        <f>(E388-Q388)*100/E388</f>
        <v>1.6249135684272038</v>
      </c>
      <c r="AN388" s="1">
        <f>(E388-U388)*100/E388</f>
        <v>1.462688154885371</v>
      </c>
    </row>
    <row r="389" spans="2:40" x14ac:dyDescent="0.2">
      <c r="B389" s="104">
        <v>1.4</v>
      </c>
      <c r="C389" s="105"/>
      <c r="D389" s="28">
        <v>13</v>
      </c>
      <c r="E389" s="25">
        <v>69.849999999999994</v>
      </c>
      <c r="F389" s="25">
        <v>75.010000000000005</v>
      </c>
      <c r="G389" s="25">
        <v>335</v>
      </c>
      <c r="H389" s="31">
        <v>0.72099999999999997</v>
      </c>
      <c r="I389" s="25">
        <v>59.82</v>
      </c>
      <c r="J389" s="25">
        <v>70.47</v>
      </c>
      <c r="K389" s="25">
        <v>66</v>
      </c>
      <c r="L389" s="31">
        <v>0.875</v>
      </c>
      <c r="M389" s="25">
        <v>68.81</v>
      </c>
      <c r="N389" s="25">
        <v>74.36</v>
      </c>
      <c r="O389" s="25">
        <v>339</v>
      </c>
      <c r="P389" s="31">
        <v>0.73</v>
      </c>
      <c r="Q389" s="25">
        <v>69.47</v>
      </c>
      <c r="R389" s="25">
        <v>74.63</v>
      </c>
      <c r="S389" s="25">
        <v>371</v>
      </c>
      <c r="T389" s="31">
        <v>0.71699999999999997</v>
      </c>
      <c r="U389" s="25">
        <v>69.400000000000006</v>
      </c>
      <c r="V389" s="25">
        <v>74.56</v>
      </c>
      <c r="W389" s="25">
        <v>378</v>
      </c>
      <c r="X389" s="31">
        <v>0.71699999999999997</v>
      </c>
      <c r="Y389" s="25">
        <v>68.930000000000007</v>
      </c>
      <c r="Z389" s="25">
        <v>74.41</v>
      </c>
      <c r="AA389" s="25">
        <v>343</v>
      </c>
      <c r="AB389" s="31">
        <v>0.72799999999999998</v>
      </c>
      <c r="AC389" s="25">
        <v>68.900000000000006</v>
      </c>
      <c r="AD389" s="25">
        <v>74.41</v>
      </c>
      <c r="AE389" s="25">
        <v>339</v>
      </c>
      <c r="AF389" s="31">
        <v>0.72899999999999998</v>
      </c>
      <c r="AG389" s="25">
        <v>68.91</v>
      </c>
      <c r="AH389" s="25">
        <v>74.42</v>
      </c>
      <c r="AI389" s="25">
        <v>339</v>
      </c>
      <c r="AJ389" s="31">
        <v>0.72899999999999998</v>
      </c>
    </row>
    <row r="390" spans="2:40" x14ac:dyDescent="0.2">
      <c r="B390" s="105"/>
      <c r="C390" s="105"/>
      <c r="D390" s="29">
        <v>21</v>
      </c>
      <c r="E390" s="4">
        <v>67.88</v>
      </c>
      <c r="F390" s="4">
        <v>74.23</v>
      </c>
      <c r="G390" s="1">
        <v>235</v>
      </c>
      <c r="H390" s="33">
        <v>0.76</v>
      </c>
      <c r="I390" s="4">
        <v>65.38</v>
      </c>
      <c r="J390" s="4">
        <v>72.89</v>
      </c>
      <c r="K390" s="1">
        <v>207</v>
      </c>
      <c r="L390" s="33">
        <v>0.79100000000000004</v>
      </c>
      <c r="M390" s="4">
        <v>72.81</v>
      </c>
      <c r="N390" s="4">
        <v>74.52</v>
      </c>
      <c r="O390" s="1">
        <v>883</v>
      </c>
      <c r="P390" s="33">
        <v>0.58099999999999996</v>
      </c>
      <c r="Q390" s="4">
        <v>67.7</v>
      </c>
      <c r="R390" s="4">
        <v>73.97</v>
      </c>
      <c r="S390" s="1">
        <v>272</v>
      </c>
      <c r="T390" s="33">
        <v>0.755</v>
      </c>
      <c r="U390" s="4">
        <v>67.39</v>
      </c>
      <c r="V390" s="4">
        <v>73.88</v>
      </c>
      <c r="W390" s="1">
        <v>250</v>
      </c>
      <c r="X390" s="33">
        <v>0.76200000000000001</v>
      </c>
      <c r="Y390" s="4">
        <v>67.52</v>
      </c>
      <c r="Z390" s="4">
        <v>73.94</v>
      </c>
      <c r="AA390" s="1">
        <v>254</v>
      </c>
      <c r="AB390" s="33">
        <v>0.76</v>
      </c>
      <c r="AC390" s="4">
        <v>67.489999999999995</v>
      </c>
      <c r="AD390" s="4">
        <v>73.92</v>
      </c>
      <c r="AE390" s="1">
        <v>253</v>
      </c>
      <c r="AF390" s="33">
        <v>0.76100000000000001</v>
      </c>
      <c r="AG390" s="4">
        <v>67.48</v>
      </c>
      <c r="AH390" s="4">
        <v>73.92</v>
      </c>
      <c r="AI390" s="1">
        <v>253</v>
      </c>
      <c r="AJ390" s="33">
        <v>0.76100000000000001</v>
      </c>
    </row>
    <row r="391" spans="2:40" x14ac:dyDescent="0.2">
      <c r="B391" s="105"/>
      <c r="C391" s="105"/>
      <c r="D391" s="29">
        <v>47</v>
      </c>
      <c r="E391" s="4">
        <v>68.260000000000005</v>
      </c>
      <c r="F391" s="4">
        <v>74.42</v>
      </c>
      <c r="G391" s="1">
        <v>243</v>
      </c>
      <c r="H391" s="8">
        <v>0.755</v>
      </c>
      <c r="I391" s="4">
        <v>65.7</v>
      </c>
      <c r="J391" s="4">
        <v>73.069999999999993</v>
      </c>
      <c r="K391" s="1">
        <v>208</v>
      </c>
      <c r="L391" s="8">
        <v>0.78800000000000003</v>
      </c>
      <c r="M391" s="4">
        <v>74.2</v>
      </c>
      <c r="N391" s="4">
        <v>75.72</v>
      </c>
      <c r="O391" s="1">
        <v>839</v>
      </c>
      <c r="P391" s="8">
        <v>0.57599999999999996</v>
      </c>
      <c r="Q391" s="4">
        <v>68.260000000000005</v>
      </c>
      <c r="R391" s="4">
        <v>74.349999999999994</v>
      </c>
      <c r="S391" s="1">
        <v>262</v>
      </c>
      <c r="T391" s="8">
        <v>0.751</v>
      </c>
      <c r="U391" s="4">
        <v>67.91</v>
      </c>
      <c r="V391" s="4">
        <v>74.22</v>
      </c>
      <c r="W391" s="1">
        <v>242</v>
      </c>
      <c r="X391" s="8">
        <v>0.75900000000000001</v>
      </c>
      <c r="Y391" s="4">
        <v>67.91</v>
      </c>
      <c r="Z391" s="4">
        <v>74.19</v>
      </c>
      <c r="AA391" s="1">
        <v>249</v>
      </c>
      <c r="AB391" s="8">
        <v>0.75700000000000001</v>
      </c>
      <c r="AC391" s="4">
        <v>67.91</v>
      </c>
      <c r="AD391" s="4">
        <v>74.2</v>
      </c>
      <c r="AE391" s="1">
        <v>246</v>
      </c>
      <c r="AF391" s="8">
        <v>0.75800000000000001</v>
      </c>
      <c r="AG391" s="4">
        <v>67.91</v>
      </c>
      <c r="AH391" s="4">
        <v>74.209999999999994</v>
      </c>
      <c r="AI391" s="1">
        <v>245</v>
      </c>
      <c r="AJ391" s="8">
        <v>0.75800000000000001</v>
      </c>
    </row>
    <row r="392" spans="2:40" x14ac:dyDescent="0.2">
      <c r="B392" s="105"/>
      <c r="C392" s="105"/>
      <c r="D392" s="29">
        <v>50</v>
      </c>
      <c r="E392" s="4">
        <v>70.88</v>
      </c>
      <c r="F392" s="4">
        <v>75.3</v>
      </c>
      <c r="G392" s="1">
        <v>423</v>
      </c>
      <c r="H392" s="8">
        <v>0.69299999999999995</v>
      </c>
      <c r="I392" s="4">
        <v>73.27</v>
      </c>
      <c r="J392" s="4">
        <v>73.48</v>
      </c>
      <c r="K392" s="1">
        <v>1157</v>
      </c>
      <c r="L392" s="8">
        <v>0.52200000000000002</v>
      </c>
      <c r="M392" s="4">
        <v>68.319999999999993</v>
      </c>
      <c r="N392" s="4">
        <v>74.39</v>
      </c>
      <c r="O392" s="1">
        <v>259</v>
      </c>
      <c r="P392" s="8">
        <v>0.751</v>
      </c>
      <c r="Q392" s="4">
        <v>68.31</v>
      </c>
      <c r="R392" s="4">
        <v>74.44</v>
      </c>
      <c r="S392" s="1">
        <v>246</v>
      </c>
      <c r="T392" s="8">
        <v>0.754</v>
      </c>
      <c r="U392" s="4">
        <v>68.81</v>
      </c>
      <c r="V392" s="4">
        <v>74.599999999999994</v>
      </c>
      <c r="W392" s="1">
        <v>281</v>
      </c>
      <c r="X392" s="8">
        <v>0.74199999999999999</v>
      </c>
      <c r="Y392" s="4">
        <v>68.5</v>
      </c>
      <c r="Z392" s="4">
        <v>74.5</v>
      </c>
      <c r="AA392" s="1">
        <v>259</v>
      </c>
      <c r="AB392" s="8">
        <v>0.75</v>
      </c>
      <c r="AC392" s="4">
        <v>68.45</v>
      </c>
      <c r="AD392" s="4">
        <v>74.47</v>
      </c>
      <c r="AE392" s="1">
        <v>259</v>
      </c>
      <c r="AF392" s="8">
        <v>0.749</v>
      </c>
      <c r="AG392" s="4">
        <v>68.489999999999995</v>
      </c>
      <c r="AH392" s="4">
        <v>74.489999999999995</v>
      </c>
      <c r="AI392" s="1">
        <v>260</v>
      </c>
      <c r="AJ392" s="8">
        <v>0.749</v>
      </c>
    </row>
    <row r="393" spans="2:40" x14ac:dyDescent="0.2">
      <c r="B393" s="105"/>
      <c r="C393" s="105"/>
      <c r="D393" s="30">
        <v>91</v>
      </c>
      <c r="E393" s="27">
        <v>68.78</v>
      </c>
      <c r="F393" s="27">
        <v>74.569999999999993</v>
      </c>
      <c r="G393" s="26">
        <v>283</v>
      </c>
      <c r="H393" s="32">
        <v>0.74199999999999999</v>
      </c>
      <c r="I393" s="27">
        <v>66.709999999999994</v>
      </c>
      <c r="J393" s="27">
        <v>72.39</v>
      </c>
      <c r="K393" s="26">
        <v>497</v>
      </c>
      <c r="L393" s="32">
        <v>0.71899999999999997</v>
      </c>
      <c r="M393" s="27">
        <v>67.069999999999993</v>
      </c>
      <c r="N393" s="27">
        <v>73.900000000000006</v>
      </c>
      <c r="O393" s="26">
        <v>416</v>
      </c>
      <c r="P393" s="32">
        <v>0.77500000000000002</v>
      </c>
      <c r="Q393" s="27">
        <v>67.28</v>
      </c>
      <c r="R393" s="27">
        <v>74.09</v>
      </c>
      <c r="S393" s="26">
        <v>183</v>
      </c>
      <c r="T393" s="32">
        <v>0.77700000000000002</v>
      </c>
      <c r="U393" s="27">
        <v>66.78</v>
      </c>
      <c r="V393" s="27">
        <v>73.81</v>
      </c>
      <c r="W393" s="26">
        <v>180</v>
      </c>
      <c r="X393" s="32">
        <v>0.78200000000000003</v>
      </c>
      <c r="Y393" s="27">
        <v>66.459999999999994</v>
      </c>
      <c r="Z393" s="27">
        <v>73.72</v>
      </c>
      <c r="AA393" s="26">
        <v>157</v>
      </c>
      <c r="AB393" s="32">
        <v>0.79</v>
      </c>
      <c r="AC393" s="27">
        <v>66.400000000000006</v>
      </c>
      <c r="AD393" s="27">
        <v>73.69</v>
      </c>
      <c r="AE393" s="26">
        <v>156</v>
      </c>
      <c r="AF393" s="32">
        <v>0.79100000000000004</v>
      </c>
      <c r="AG393" s="27">
        <v>66.400000000000006</v>
      </c>
      <c r="AH393" s="27">
        <v>73.680000000000007</v>
      </c>
      <c r="AI393" s="26">
        <v>157</v>
      </c>
      <c r="AJ393" s="32">
        <v>0.79100000000000004</v>
      </c>
    </row>
    <row r="394" spans="2:40" x14ac:dyDescent="0.2">
      <c r="B394" s="106"/>
      <c r="C394" s="106"/>
      <c r="D394" s="6" t="s">
        <v>8</v>
      </c>
      <c r="E394" s="7">
        <f t="shared" ref="E394:AJ394" si="74">AVERAGE(E389:E393)</f>
        <v>69.13</v>
      </c>
      <c r="F394" s="7">
        <f t="shared" si="74"/>
        <v>74.706000000000003</v>
      </c>
      <c r="G394" s="35">
        <f t="shared" si="74"/>
        <v>303.8</v>
      </c>
      <c r="H394" s="34">
        <f t="shared" si="74"/>
        <v>0.73419999999999996</v>
      </c>
      <c r="I394" s="7">
        <f t="shared" si="74"/>
        <v>66.175999999999988</v>
      </c>
      <c r="J394" s="7">
        <f t="shared" si="74"/>
        <v>72.460000000000008</v>
      </c>
      <c r="K394" s="35">
        <f t="shared" si="74"/>
        <v>427</v>
      </c>
      <c r="L394" s="34">
        <f t="shared" si="74"/>
        <v>0.73899999999999999</v>
      </c>
      <c r="M394" s="7">
        <f t="shared" si="74"/>
        <v>70.24199999999999</v>
      </c>
      <c r="N394" s="7">
        <f t="shared" si="74"/>
        <v>74.578000000000003</v>
      </c>
      <c r="O394" s="35">
        <f t="shared" si="74"/>
        <v>547.20000000000005</v>
      </c>
      <c r="P394" s="34">
        <f t="shared" si="74"/>
        <v>0.68259999999999998</v>
      </c>
      <c r="Q394" s="7">
        <f t="shared" si="74"/>
        <v>68.203999999999994</v>
      </c>
      <c r="R394" s="7">
        <f t="shared" si="74"/>
        <v>74.296000000000006</v>
      </c>
      <c r="S394" s="35">
        <f t="shared" si="74"/>
        <v>266.8</v>
      </c>
      <c r="T394" s="34">
        <f t="shared" si="74"/>
        <v>0.75080000000000002</v>
      </c>
      <c r="U394" s="7">
        <f t="shared" si="74"/>
        <v>68.057999999999993</v>
      </c>
      <c r="V394" s="7">
        <f t="shared" si="74"/>
        <v>74.213999999999999</v>
      </c>
      <c r="W394" s="35">
        <f t="shared" si="74"/>
        <v>266.2</v>
      </c>
      <c r="X394" s="34">
        <f t="shared" si="74"/>
        <v>0.75239999999999996</v>
      </c>
      <c r="Y394" s="7">
        <f t="shared" si="74"/>
        <v>67.864000000000004</v>
      </c>
      <c r="Z394" s="7">
        <f t="shared" si="74"/>
        <v>74.152000000000001</v>
      </c>
      <c r="AA394" s="35">
        <f t="shared" si="74"/>
        <v>252.4</v>
      </c>
      <c r="AB394" s="34">
        <f t="shared" si="74"/>
        <v>0.75700000000000001</v>
      </c>
      <c r="AC394" s="7">
        <f t="shared" si="74"/>
        <v>67.83</v>
      </c>
      <c r="AD394" s="7">
        <f t="shared" si="74"/>
        <v>74.138000000000005</v>
      </c>
      <c r="AE394" s="35">
        <f t="shared" si="74"/>
        <v>250.6</v>
      </c>
      <c r="AF394" s="34">
        <f t="shared" si="74"/>
        <v>0.75760000000000005</v>
      </c>
      <c r="AG394" s="7">
        <f t="shared" si="74"/>
        <v>67.837999999999994</v>
      </c>
      <c r="AH394" s="7">
        <f t="shared" si="74"/>
        <v>74.144000000000005</v>
      </c>
      <c r="AI394" s="35">
        <f t="shared" si="74"/>
        <v>250.8</v>
      </c>
      <c r="AJ394" s="34">
        <f t="shared" si="74"/>
        <v>0.75760000000000005</v>
      </c>
      <c r="AM394" s="1">
        <f>(E394-Q394)*100/E394</f>
        <v>1.3395052799074236</v>
      </c>
      <c r="AN394" s="1">
        <f>(E394-U394)*100/E394</f>
        <v>1.5507015767394805</v>
      </c>
    </row>
    <row r="395" spans="2:40" x14ac:dyDescent="0.2">
      <c r="D395" s="61"/>
      <c r="E395" s="62"/>
      <c r="F395" s="62"/>
      <c r="G395" s="63"/>
      <c r="H395" s="64"/>
    </row>
    <row r="396" spans="2:40" x14ac:dyDescent="0.2">
      <c r="D396" s="61"/>
      <c r="E396" s="62"/>
      <c r="F396" s="62"/>
      <c r="G396" s="63"/>
      <c r="H396" s="64"/>
    </row>
    <row r="397" spans="2:40" x14ac:dyDescent="0.2">
      <c r="D397" s="61"/>
      <c r="E397" s="62"/>
      <c r="F397" s="62"/>
      <c r="G397" s="63"/>
      <c r="H397" s="64"/>
    </row>
    <row r="398" spans="2:40" x14ac:dyDescent="0.2">
      <c r="D398" s="61"/>
      <c r="E398" s="62"/>
      <c r="F398" s="62"/>
      <c r="G398" s="63"/>
      <c r="H398" s="64"/>
    </row>
    <row r="399" spans="2:40" x14ac:dyDescent="0.2">
      <c r="B399" s="100" t="s">
        <v>23</v>
      </c>
      <c r="C399" s="107" t="s">
        <v>15</v>
      </c>
      <c r="D399" s="108"/>
      <c r="E399" s="108"/>
      <c r="F399" s="108"/>
      <c r="G399" s="108"/>
      <c r="H399" s="111"/>
      <c r="I399" s="103" t="s">
        <v>30</v>
      </c>
      <c r="J399" s="123"/>
      <c r="K399" s="123"/>
      <c r="L399" s="123"/>
      <c r="M399" s="103" t="s">
        <v>31</v>
      </c>
      <c r="N399" s="123"/>
      <c r="O399" s="123"/>
      <c r="P399" s="123"/>
      <c r="Q399" s="103" t="s">
        <v>32</v>
      </c>
      <c r="R399" s="123"/>
      <c r="S399" s="123"/>
      <c r="T399" s="123"/>
      <c r="U399" s="103" t="s">
        <v>33</v>
      </c>
      <c r="V399" s="123"/>
      <c r="W399" s="123"/>
      <c r="X399" s="123"/>
      <c r="Y399" s="103" t="s">
        <v>34</v>
      </c>
      <c r="Z399" s="123"/>
      <c r="AA399" s="123"/>
      <c r="AB399" s="123"/>
      <c r="AC399" s="103" t="s">
        <v>35</v>
      </c>
      <c r="AD399" s="123"/>
      <c r="AE399" s="123"/>
      <c r="AF399" s="123"/>
      <c r="AG399" s="103" t="s">
        <v>36</v>
      </c>
      <c r="AH399" s="123"/>
      <c r="AI399" s="123"/>
      <c r="AJ399" s="123"/>
    </row>
    <row r="400" spans="2:40" x14ac:dyDescent="0.2">
      <c r="B400" s="101"/>
      <c r="C400" s="19" t="s">
        <v>3</v>
      </c>
      <c r="D400" s="1" t="s">
        <v>4</v>
      </c>
      <c r="E400" s="1" t="s">
        <v>6</v>
      </c>
      <c r="F400" s="2" t="s">
        <v>7</v>
      </c>
      <c r="G400" s="1" t="s">
        <v>24</v>
      </c>
      <c r="H400" s="8" t="s">
        <v>25</v>
      </c>
      <c r="I400" s="1" t="s">
        <v>6</v>
      </c>
      <c r="J400" s="2" t="s">
        <v>7</v>
      </c>
      <c r="K400" s="1" t="s">
        <v>24</v>
      </c>
      <c r="L400" s="8" t="s">
        <v>25</v>
      </c>
      <c r="M400" s="1" t="s">
        <v>6</v>
      </c>
      <c r="N400" s="2" t="s">
        <v>7</v>
      </c>
      <c r="O400" s="1" t="s">
        <v>24</v>
      </c>
      <c r="P400" s="8" t="s">
        <v>25</v>
      </c>
      <c r="Q400" s="1" t="s">
        <v>6</v>
      </c>
      <c r="R400" s="2" t="s">
        <v>7</v>
      </c>
      <c r="S400" s="1" t="s">
        <v>24</v>
      </c>
      <c r="T400" s="8" t="s">
        <v>25</v>
      </c>
      <c r="U400" s="1" t="s">
        <v>6</v>
      </c>
      <c r="V400" s="2" t="s">
        <v>7</v>
      </c>
      <c r="W400" s="1" t="s">
        <v>24</v>
      </c>
      <c r="X400" s="8" t="s">
        <v>25</v>
      </c>
      <c r="Y400" s="1" t="s">
        <v>6</v>
      </c>
      <c r="Z400" s="2" t="s">
        <v>7</v>
      </c>
      <c r="AA400" s="1" t="s">
        <v>24</v>
      </c>
      <c r="AB400" s="8" t="s">
        <v>25</v>
      </c>
      <c r="AC400" s="1" t="s">
        <v>6</v>
      </c>
      <c r="AD400" s="2" t="s">
        <v>7</v>
      </c>
      <c r="AE400" s="1" t="s">
        <v>24</v>
      </c>
      <c r="AF400" s="8" t="s">
        <v>25</v>
      </c>
      <c r="AG400" s="1" t="s">
        <v>6</v>
      </c>
      <c r="AH400" s="2" t="s">
        <v>7</v>
      </c>
      <c r="AI400" s="1" t="s">
        <v>24</v>
      </c>
      <c r="AJ400" s="8" t="s">
        <v>25</v>
      </c>
    </row>
    <row r="401" spans="2:40" x14ac:dyDescent="0.2">
      <c r="B401" s="102">
        <v>1</v>
      </c>
      <c r="C401" s="104">
        <v>8</v>
      </c>
      <c r="D401" s="28">
        <v>13</v>
      </c>
      <c r="E401" s="25">
        <v>72.739999999999995</v>
      </c>
      <c r="F401" s="1">
        <v>70.540000000000006</v>
      </c>
      <c r="G401" s="25">
        <v>1389</v>
      </c>
      <c r="H401" s="36">
        <v>0.42499999999999999</v>
      </c>
      <c r="I401" s="25">
        <v>50.04</v>
      </c>
      <c r="J401" s="1">
        <v>0.15</v>
      </c>
      <c r="K401" s="25">
        <v>3997</v>
      </c>
      <c r="L401" s="36">
        <v>3.7500000000000001E-4</v>
      </c>
      <c r="M401" s="25">
        <v>71.89</v>
      </c>
      <c r="N401" s="1">
        <v>67.17</v>
      </c>
      <c r="O401" s="25">
        <v>1699</v>
      </c>
      <c r="P401" s="36">
        <v>0.356375</v>
      </c>
      <c r="Q401" s="25">
        <v>72.72</v>
      </c>
      <c r="R401" s="1">
        <v>72.03</v>
      </c>
      <c r="S401" s="25">
        <v>1191</v>
      </c>
      <c r="T401" s="36">
        <v>0.47499999999999998</v>
      </c>
      <c r="U401" s="25">
        <v>72.69</v>
      </c>
      <c r="V401" s="1">
        <v>70.28</v>
      </c>
      <c r="W401" s="25">
        <v>1416</v>
      </c>
      <c r="X401" s="36">
        <v>0.41912500000000003</v>
      </c>
      <c r="Y401" s="25">
        <v>72.709999999999994</v>
      </c>
      <c r="Z401" s="1">
        <v>70.599999999999994</v>
      </c>
      <c r="AA401" s="25">
        <v>1379</v>
      </c>
      <c r="AB401" s="36">
        <v>0.42812499999999998</v>
      </c>
      <c r="AC401" s="25">
        <v>72.75</v>
      </c>
      <c r="AD401" s="1">
        <v>70.56</v>
      </c>
      <c r="AE401" s="25">
        <v>1388</v>
      </c>
      <c r="AF401" s="36">
        <v>0.42549999999999999</v>
      </c>
      <c r="AG401" s="25">
        <v>72.760000000000005</v>
      </c>
      <c r="AH401" s="1">
        <v>70.56</v>
      </c>
      <c r="AI401" s="25">
        <v>1389</v>
      </c>
      <c r="AJ401" s="36">
        <v>0.42512499999999998</v>
      </c>
    </row>
    <row r="402" spans="2:40" x14ac:dyDescent="0.2">
      <c r="B402" s="103"/>
      <c r="C402" s="105"/>
      <c r="D402" s="29">
        <v>21</v>
      </c>
      <c r="E402" s="4">
        <v>72.81</v>
      </c>
      <c r="F402" s="4">
        <v>71.92</v>
      </c>
      <c r="G402" s="1">
        <v>1214</v>
      </c>
      <c r="H402" s="8">
        <v>0.46800000000000003</v>
      </c>
      <c r="I402" s="4">
        <v>56.66</v>
      </c>
      <c r="J402" s="4">
        <v>68.680000000000007</v>
      </c>
      <c r="K402" s="1">
        <v>198</v>
      </c>
      <c r="L402" s="8">
        <v>0.88387499999999997</v>
      </c>
      <c r="M402" s="4">
        <v>72.5</v>
      </c>
      <c r="N402" s="4">
        <v>69.53</v>
      </c>
      <c r="O402" s="1">
        <v>1490</v>
      </c>
      <c r="P402" s="8">
        <v>0.40250000000000002</v>
      </c>
      <c r="Q402" s="4">
        <v>71.73</v>
      </c>
      <c r="R402" s="4">
        <v>72.41</v>
      </c>
      <c r="S402" s="1">
        <v>1032</v>
      </c>
      <c r="T402" s="8">
        <v>0.52475000000000005</v>
      </c>
      <c r="U402" s="4">
        <v>72.47</v>
      </c>
      <c r="V402" s="4">
        <v>71.89</v>
      </c>
      <c r="W402" s="1">
        <v>1184</v>
      </c>
      <c r="X402" s="8">
        <v>0.47925000000000001</v>
      </c>
      <c r="Y402" s="4">
        <v>72.760000000000005</v>
      </c>
      <c r="Z402" s="4">
        <v>71.94</v>
      </c>
      <c r="AA402" s="1">
        <v>1207</v>
      </c>
      <c r="AB402" s="8">
        <v>0.47062500000000002</v>
      </c>
      <c r="AC402" s="4">
        <v>72.8</v>
      </c>
      <c r="AD402" s="4">
        <v>71.88</v>
      </c>
      <c r="AE402" s="1">
        <v>1219</v>
      </c>
      <c r="AF402" s="8">
        <v>0.46725</v>
      </c>
      <c r="AG402" s="4">
        <v>72.81</v>
      </c>
      <c r="AH402" s="4">
        <v>71.92</v>
      </c>
      <c r="AI402" s="1">
        <v>1215</v>
      </c>
      <c r="AJ402" s="8">
        <v>0.46812500000000001</v>
      </c>
    </row>
    <row r="403" spans="2:40" x14ac:dyDescent="0.2">
      <c r="B403" s="103"/>
      <c r="C403" s="105"/>
      <c r="D403" s="29">
        <v>47</v>
      </c>
      <c r="E403" s="4">
        <v>73.06</v>
      </c>
      <c r="F403" s="4">
        <v>71.97</v>
      </c>
      <c r="G403" s="1">
        <v>1234</v>
      </c>
      <c r="H403" s="8">
        <v>0.46100000000000002</v>
      </c>
      <c r="I403" s="4">
        <v>71.59</v>
      </c>
      <c r="J403" s="4">
        <v>71.87</v>
      </c>
      <c r="K403" s="1">
        <v>1097</v>
      </c>
      <c r="L403" s="8">
        <v>0.50987499999999997</v>
      </c>
      <c r="M403" s="4">
        <v>71.239999999999995</v>
      </c>
      <c r="N403" s="4">
        <v>65.3</v>
      </c>
      <c r="O403" s="1">
        <v>1835</v>
      </c>
      <c r="P403" s="8">
        <v>0.32887499999999997</v>
      </c>
      <c r="Q403" s="4">
        <v>72.94</v>
      </c>
      <c r="R403" s="4">
        <v>71.17</v>
      </c>
      <c r="S403" s="1">
        <v>1328</v>
      </c>
      <c r="T403" s="8">
        <v>0.43862499999999999</v>
      </c>
      <c r="U403" s="4">
        <v>72.900000000000006</v>
      </c>
      <c r="V403" s="4">
        <v>71.66</v>
      </c>
      <c r="W403" s="1">
        <v>1259</v>
      </c>
      <c r="X403" s="8">
        <v>0.45624999999999999</v>
      </c>
      <c r="Y403" s="4">
        <v>73.040000000000006</v>
      </c>
      <c r="Z403" s="4">
        <v>71.92</v>
      </c>
      <c r="AA403" s="1">
        <v>1238</v>
      </c>
      <c r="AB403" s="8">
        <v>0.46012500000000001</v>
      </c>
      <c r="AC403" s="4">
        <v>73.05</v>
      </c>
      <c r="AD403" s="4">
        <v>71.930000000000007</v>
      </c>
      <c r="AE403" s="1">
        <v>1238</v>
      </c>
      <c r="AF403" s="8">
        <v>0.46</v>
      </c>
      <c r="AG403" s="4">
        <v>73.06</v>
      </c>
      <c r="AH403" s="4">
        <v>71.97</v>
      </c>
      <c r="AI403" s="1">
        <v>1234</v>
      </c>
      <c r="AJ403" s="8">
        <v>0.46087499999999998</v>
      </c>
    </row>
    <row r="404" spans="2:40" x14ac:dyDescent="0.2">
      <c r="B404" s="103"/>
      <c r="C404" s="105"/>
      <c r="D404" s="29">
        <v>50</v>
      </c>
      <c r="E404" s="4">
        <v>72.790000000000006</v>
      </c>
      <c r="F404" s="4">
        <v>71.69</v>
      </c>
      <c r="G404" s="1">
        <v>1244</v>
      </c>
      <c r="H404" s="8">
        <v>0.46100000000000002</v>
      </c>
      <c r="I404" s="4">
        <v>50.15</v>
      </c>
      <c r="J404" s="4">
        <v>66.69</v>
      </c>
      <c r="K404" s="1">
        <v>7</v>
      </c>
      <c r="L404" s="8">
        <v>0.99675000000000002</v>
      </c>
      <c r="M404" s="4">
        <v>71.38</v>
      </c>
      <c r="N404" s="4">
        <v>73.03</v>
      </c>
      <c r="O404" s="1">
        <v>900</v>
      </c>
      <c r="P404" s="8">
        <v>0.56125000000000003</v>
      </c>
      <c r="Q404" s="4">
        <v>72.62</v>
      </c>
      <c r="R404" s="4">
        <v>71.040000000000006</v>
      </c>
      <c r="S404" s="1">
        <v>1314</v>
      </c>
      <c r="T404" s="8">
        <v>0.44524999999999998</v>
      </c>
      <c r="U404" s="4">
        <v>72.62</v>
      </c>
      <c r="V404" s="4">
        <v>71.28</v>
      </c>
      <c r="W404" s="1">
        <v>1282</v>
      </c>
      <c r="X404" s="8">
        <v>0.45324999999999999</v>
      </c>
      <c r="Y404" s="4">
        <v>72.81</v>
      </c>
      <c r="Z404" s="4">
        <v>71.73</v>
      </c>
      <c r="AA404" s="1">
        <v>1240</v>
      </c>
      <c r="AB404" s="8">
        <v>0.46187499999999998</v>
      </c>
      <c r="AC404" s="4">
        <v>72.790000000000006</v>
      </c>
      <c r="AD404" s="4">
        <v>71.7</v>
      </c>
      <c r="AE404" s="1">
        <v>1242</v>
      </c>
      <c r="AF404" s="8">
        <v>0.46162500000000001</v>
      </c>
      <c r="AG404" s="4">
        <v>72.760000000000005</v>
      </c>
      <c r="AH404" s="4">
        <v>71.650000000000006</v>
      </c>
      <c r="AI404" s="1">
        <v>1246</v>
      </c>
      <c r="AJ404" s="8">
        <v>0.46087499999999998</v>
      </c>
    </row>
    <row r="405" spans="2:40" x14ac:dyDescent="0.2">
      <c r="B405" s="103"/>
      <c r="C405" s="105"/>
      <c r="D405" s="30">
        <v>91</v>
      </c>
      <c r="E405" s="27">
        <v>72.47</v>
      </c>
      <c r="F405" s="27">
        <v>70.69</v>
      </c>
      <c r="G405" s="26">
        <v>1345</v>
      </c>
      <c r="H405" s="32">
        <v>0.439</v>
      </c>
      <c r="I405" s="27">
        <v>52.61</v>
      </c>
      <c r="J405" s="27">
        <v>10.31</v>
      </c>
      <c r="K405" s="26">
        <v>3782</v>
      </c>
      <c r="L405" s="32">
        <v>2.8375000000000001E-2</v>
      </c>
      <c r="M405" s="27">
        <v>71.59</v>
      </c>
      <c r="N405" s="27">
        <v>67.42</v>
      </c>
      <c r="O405" s="26">
        <v>1648</v>
      </c>
      <c r="P405" s="32">
        <v>0.37212499999999998</v>
      </c>
      <c r="Q405" s="27">
        <v>72.62</v>
      </c>
      <c r="R405" s="27">
        <v>71.709999999999994</v>
      </c>
      <c r="S405" s="26">
        <v>1224</v>
      </c>
      <c r="T405" s="32">
        <v>0.46775</v>
      </c>
      <c r="U405" s="27">
        <v>72.290000000000006</v>
      </c>
      <c r="V405" s="27">
        <v>70.06</v>
      </c>
      <c r="W405" s="26">
        <v>1406</v>
      </c>
      <c r="X405" s="32">
        <v>0.42562499999999998</v>
      </c>
      <c r="Y405" s="27">
        <v>72.47</v>
      </c>
      <c r="Z405" s="27">
        <v>70.66</v>
      </c>
      <c r="AA405" s="26">
        <v>1349</v>
      </c>
      <c r="AB405" s="32">
        <v>0.438</v>
      </c>
      <c r="AC405" s="27">
        <v>72.47</v>
      </c>
      <c r="AD405" s="27">
        <v>70.66</v>
      </c>
      <c r="AE405" s="26">
        <v>1348</v>
      </c>
      <c r="AF405" s="32">
        <v>0.43824999999999997</v>
      </c>
      <c r="AG405" s="27">
        <v>72.510000000000005</v>
      </c>
      <c r="AH405" s="27">
        <v>70.75</v>
      </c>
      <c r="AI405" s="26">
        <v>1341</v>
      </c>
      <c r="AJ405" s="32">
        <v>0.43962499999999999</v>
      </c>
    </row>
    <row r="406" spans="2:40" x14ac:dyDescent="0.2">
      <c r="B406" s="101"/>
      <c r="C406" s="105"/>
      <c r="D406" s="6" t="s">
        <v>8</v>
      </c>
      <c r="E406" s="7">
        <f t="shared" ref="E406:AJ406" si="75">AVERAGE(E401:E405)</f>
        <v>72.774000000000001</v>
      </c>
      <c r="F406" s="7">
        <f t="shared" si="75"/>
        <v>71.361999999999995</v>
      </c>
      <c r="G406" s="35">
        <f t="shared" si="75"/>
        <v>1285.2</v>
      </c>
      <c r="H406" s="34">
        <f t="shared" si="75"/>
        <v>0.45079999999999998</v>
      </c>
      <c r="I406" s="7">
        <f t="shared" si="75"/>
        <v>56.21</v>
      </c>
      <c r="J406" s="7">
        <f t="shared" si="75"/>
        <v>43.540000000000006</v>
      </c>
      <c r="K406" s="35">
        <f t="shared" si="75"/>
        <v>1816.2</v>
      </c>
      <c r="L406" s="34">
        <f t="shared" si="75"/>
        <v>0.48385</v>
      </c>
      <c r="M406" s="7">
        <f t="shared" si="75"/>
        <v>71.72</v>
      </c>
      <c r="N406" s="7">
        <f t="shared" si="75"/>
        <v>68.489999999999995</v>
      </c>
      <c r="O406" s="35">
        <f t="shared" si="75"/>
        <v>1514.4</v>
      </c>
      <c r="P406" s="34">
        <f t="shared" si="75"/>
        <v>0.404225</v>
      </c>
      <c r="Q406" s="7">
        <f t="shared" si="75"/>
        <v>72.525999999999996</v>
      </c>
      <c r="R406" s="7">
        <f t="shared" si="75"/>
        <v>71.671999999999997</v>
      </c>
      <c r="S406" s="35">
        <f t="shared" si="75"/>
        <v>1217.8</v>
      </c>
      <c r="T406" s="34">
        <f t="shared" si="75"/>
        <v>0.470275</v>
      </c>
      <c r="U406" s="7">
        <f t="shared" si="75"/>
        <v>72.594000000000008</v>
      </c>
      <c r="V406" s="7">
        <f t="shared" si="75"/>
        <v>71.034000000000006</v>
      </c>
      <c r="W406" s="35">
        <f t="shared" si="75"/>
        <v>1309.4000000000001</v>
      </c>
      <c r="X406" s="34">
        <f t="shared" si="75"/>
        <v>0.44669999999999999</v>
      </c>
      <c r="Y406" s="7">
        <f t="shared" si="75"/>
        <v>72.757999999999996</v>
      </c>
      <c r="Z406" s="7">
        <f t="shared" si="75"/>
        <v>71.37</v>
      </c>
      <c r="AA406" s="35">
        <f t="shared" si="75"/>
        <v>1282.5999999999999</v>
      </c>
      <c r="AB406" s="34">
        <f t="shared" si="75"/>
        <v>0.45174999999999998</v>
      </c>
      <c r="AC406" s="7">
        <f t="shared" si="75"/>
        <v>72.772000000000006</v>
      </c>
      <c r="AD406" s="7">
        <f t="shared" si="75"/>
        <v>71.346000000000004</v>
      </c>
      <c r="AE406" s="35">
        <f t="shared" si="75"/>
        <v>1287</v>
      </c>
      <c r="AF406" s="34">
        <f t="shared" si="75"/>
        <v>0.45052499999999995</v>
      </c>
      <c r="AG406" s="7">
        <f t="shared" si="75"/>
        <v>72.78</v>
      </c>
      <c r="AH406" s="7">
        <f t="shared" si="75"/>
        <v>71.37</v>
      </c>
      <c r="AI406" s="35">
        <f t="shared" si="75"/>
        <v>1285</v>
      </c>
      <c r="AJ406" s="34">
        <f t="shared" si="75"/>
        <v>0.45092499999999996</v>
      </c>
      <c r="AM406" s="1">
        <f>(E406-Q406)*100/E406</f>
        <v>0.34078104817655297</v>
      </c>
      <c r="AN406" s="1">
        <f>(E406-U406)*100/E406</f>
        <v>0.24734108335393493</v>
      </c>
    </row>
    <row r="407" spans="2:40" x14ac:dyDescent="0.2">
      <c r="B407" s="104">
        <v>1.2</v>
      </c>
      <c r="C407" s="105"/>
      <c r="D407" s="28">
        <v>13</v>
      </c>
      <c r="E407" s="25">
        <v>72.959999999999994</v>
      </c>
      <c r="F407" s="25">
        <v>71.13</v>
      </c>
      <c r="G407" s="25">
        <v>1336</v>
      </c>
      <c r="H407" s="31">
        <v>0.436</v>
      </c>
      <c r="I407" s="25">
        <v>73.290000000000006</v>
      </c>
      <c r="J407" s="1">
        <v>73.459999999999994</v>
      </c>
      <c r="K407" s="25">
        <v>1042</v>
      </c>
      <c r="L407" s="36">
        <v>0.50662499999999999</v>
      </c>
      <c r="M407" s="25">
        <v>72.69</v>
      </c>
      <c r="N407" s="1">
        <v>69.64</v>
      </c>
      <c r="O407" s="25">
        <v>1494</v>
      </c>
      <c r="P407" s="36">
        <v>0.39962500000000001</v>
      </c>
      <c r="Q407" s="25">
        <v>72.680000000000007</v>
      </c>
      <c r="R407" s="1">
        <v>72.239999999999995</v>
      </c>
      <c r="S407" s="25">
        <v>1155</v>
      </c>
      <c r="T407" s="36">
        <v>0.48449999999999999</v>
      </c>
      <c r="U407" s="25">
        <v>73.05</v>
      </c>
      <c r="V407" s="1">
        <v>71.709999999999994</v>
      </c>
      <c r="W407" s="25">
        <v>1268</v>
      </c>
      <c r="X407" s="36">
        <v>0.45250000000000001</v>
      </c>
      <c r="Y407" s="25">
        <v>72.95</v>
      </c>
      <c r="Z407" s="1">
        <v>71.150000000000006</v>
      </c>
      <c r="AA407" s="25">
        <v>1332</v>
      </c>
      <c r="AB407" s="36">
        <v>0.4375</v>
      </c>
      <c r="AC407" s="25">
        <v>72.95</v>
      </c>
      <c r="AD407" s="1">
        <v>71.14</v>
      </c>
      <c r="AE407" s="25">
        <v>1333</v>
      </c>
      <c r="AF407" s="36">
        <v>0.43725000000000003</v>
      </c>
      <c r="AG407" s="25">
        <v>72.959999999999994</v>
      </c>
      <c r="AH407" s="1">
        <v>71.13</v>
      </c>
      <c r="AI407" s="25">
        <v>1336</v>
      </c>
      <c r="AJ407" s="36">
        <v>0.43637500000000001</v>
      </c>
    </row>
    <row r="408" spans="2:40" x14ac:dyDescent="0.2">
      <c r="B408" s="105"/>
      <c r="C408" s="105"/>
      <c r="D408" s="29">
        <v>21</v>
      </c>
      <c r="E408" s="4">
        <v>72.260000000000005</v>
      </c>
      <c r="F408" s="4">
        <v>72.790000000000006</v>
      </c>
      <c r="G408" s="1">
        <v>1032</v>
      </c>
      <c r="H408" s="33">
        <v>0.51900000000000002</v>
      </c>
      <c r="I408" s="4">
        <v>53.29</v>
      </c>
      <c r="J408" s="4">
        <v>67.7</v>
      </c>
      <c r="K408" s="1">
        <v>83</v>
      </c>
      <c r="L408" s="8">
        <v>0.94637499999999997</v>
      </c>
      <c r="M408" s="4">
        <v>67.31</v>
      </c>
      <c r="N408" s="4">
        <v>72.430000000000007</v>
      </c>
      <c r="O408" s="1">
        <v>565</v>
      </c>
      <c r="P408" s="8">
        <v>0.68562500000000004</v>
      </c>
      <c r="Q408" s="4">
        <v>72.510000000000005</v>
      </c>
      <c r="R408" s="4">
        <v>71.930000000000007</v>
      </c>
      <c r="S408" s="1">
        <v>1183</v>
      </c>
      <c r="T408" s="8">
        <v>0.47912500000000002</v>
      </c>
      <c r="U408" s="4">
        <v>72.239999999999995</v>
      </c>
      <c r="V408" s="4">
        <v>72.95</v>
      </c>
      <c r="W408" s="1">
        <v>1005</v>
      </c>
      <c r="X408" s="8">
        <v>0.52637500000000004</v>
      </c>
      <c r="Y408" s="4">
        <v>72.25</v>
      </c>
      <c r="Z408" s="4">
        <v>72.849999999999994</v>
      </c>
      <c r="AA408" s="1">
        <v>1022</v>
      </c>
      <c r="AB408" s="8">
        <v>0.52200000000000002</v>
      </c>
      <c r="AC408" s="4">
        <v>72.239999999999995</v>
      </c>
      <c r="AD408" s="4">
        <v>72.790000000000006</v>
      </c>
      <c r="AE408" s="1">
        <v>1030</v>
      </c>
      <c r="AF408" s="8">
        <v>0.52012499999999995</v>
      </c>
      <c r="AG408" s="4">
        <v>72.25</v>
      </c>
      <c r="AH408" s="4">
        <v>72.790000000000006</v>
      </c>
      <c r="AI408" s="1">
        <v>1030</v>
      </c>
      <c r="AJ408" s="8">
        <v>0.52</v>
      </c>
    </row>
    <row r="409" spans="2:40" x14ac:dyDescent="0.2">
      <c r="B409" s="105"/>
      <c r="C409" s="105"/>
      <c r="D409" s="29">
        <v>47</v>
      </c>
      <c r="E409" s="4">
        <v>72.89</v>
      </c>
      <c r="F409" s="4">
        <v>73.13</v>
      </c>
      <c r="G409" s="1">
        <v>1048</v>
      </c>
      <c r="H409" s="8">
        <v>0.50900000000000001</v>
      </c>
      <c r="I409" s="4">
        <v>73.099999999999994</v>
      </c>
      <c r="J409" s="4">
        <v>69.3</v>
      </c>
      <c r="K409" s="1">
        <v>1571</v>
      </c>
      <c r="L409" s="8">
        <v>0.37624999999999997</v>
      </c>
      <c r="M409" s="4">
        <v>73.06</v>
      </c>
      <c r="N409" s="4">
        <v>71.09</v>
      </c>
      <c r="O409" s="1">
        <v>1351</v>
      </c>
      <c r="P409" s="8">
        <v>0.43162499999999998</v>
      </c>
      <c r="Q409" s="4">
        <v>72.94</v>
      </c>
      <c r="R409" s="4">
        <v>72.55</v>
      </c>
      <c r="S409" s="1">
        <v>1139</v>
      </c>
      <c r="T409" s="8">
        <v>0.485875</v>
      </c>
      <c r="U409" s="4">
        <v>72.78</v>
      </c>
      <c r="V409" s="4">
        <v>73.08</v>
      </c>
      <c r="W409" s="1">
        <v>1044</v>
      </c>
      <c r="X409" s="8">
        <v>0.51124999999999998</v>
      </c>
      <c r="Y409" s="4">
        <v>72.900000000000006</v>
      </c>
      <c r="Z409" s="4">
        <v>73.14</v>
      </c>
      <c r="AA409" s="1">
        <v>1048</v>
      </c>
      <c r="AB409" s="8">
        <v>0.50900000000000001</v>
      </c>
      <c r="AC409" s="4">
        <v>72.900000000000006</v>
      </c>
      <c r="AD409" s="4">
        <v>73.14</v>
      </c>
      <c r="AE409" s="1">
        <v>1048</v>
      </c>
      <c r="AF409" s="8">
        <v>0.50900000000000001</v>
      </c>
      <c r="AG409" s="4">
        <v>72.89</v>
      </c>
      <c r="AH409" s="4">
        <v>73.13</v>
      </c>
      <c r="AI409" s="1">
        <v>1048</v>
      </c>
      <c r="AJ409" s="8">
        <v>0.50912500000000005</v>
      </c>
    </row>
    <row r="410" spans="2:40" x14ac:dyDescent="0.2">
      <c r="B410" s="105"/>
      <c r="C410" s="105"/>
      <c r="D410" s="29">
        <v>50</v>
      </c>
      <c r="E410" s="4">
        <v>72.69</v>
      </c>
      <c r="F410" s="4">
        <v>72.89</v>
      </c>
      <c r="G410" s="1">
        <v>1063</v>
      </c>
      <c r="H410" s="8">
        <v>0.50700000000000001</v>
      </c>
      <c r="I410" s="4">
        <v>50.4</v>
      </c>
      <c r="J410" s="4">
        <v>66.77</v>
      </c>
      <c r="K410" s="1">
        <v>14</v>
      </c>
      <c r="L410" s="8">
        <v>0.99250000000000005</v>
      </c>
      <c r="M410" s="4">
        <v>72.7</v>
      </c>
      <c r="N410" s="4">
        <v>73.05</v>
      </c>
      <c r="O410" s="1">
        <v>1040</v>
      </c>
      <c r="P410" s="8">
        <v>0.51300000000000001</v>
      </c>
      <c r="Q410" s="4">
        <v>71.040000000000006</v>
      </c>
      <c r="R410" s="4">
        <v>73.239999999999995</v>
      </c>
      <c r="S410" s="1">
        <v>829</v>
      </c>
      <c r="T410" s="8">
        <v>0.58237499999999998</v>
      </c>
      <c r="U410" s="4">
        <v>72.66</v>
      </c>
      <c r="V410" s="4">
        <v>72.64</v>
      </c>
      <c r="W410" s="1">
        <v>1097</v>
      </c>
      <c r="X410" s="8">
        <v>0.49912499999999999</v>
      </c>
      <c r="Y410" s="4">
        <v>72.7</v>
      </c>
      <c r="Z410" s="4">
        <v>72.900000000000006</v>
      </c>
      <c r="AA410" s="1">
        <v>1062</v>
      </c>
      <c r="AB410" s="8">
        <v>0.50749999999999995</v>
      </c>
      <c r="AC410" s="4">
        <v>72.69</v>
      </c>
      <c r="AD410" s="4">
        <v>72.89</v>
      </c>
      <c r="AE410" s="1">
        <v>1063</v>
      </c>
      <c r="AF410" s="8">
        <v>0.50737500000000002</v>
      </c>
      <c r="AG410" s="4">
        <v>72.69</v>
      </c>
      <c r="AH410" s="4">
        <v>72.89</v>
      </c>
      <c r="AI410" s="1">
        <v>1063</v>
      </c>
      <c r="AJ410" s="8">
        <v>0.50737500000000002</v>
      </c>
    </row>
    <row r="411" spans="2:40" x14ac:dyDescent="0.2">
      <c r="B411" s="105"/>
      <c r="C411" s="105"/>
      <c r="D411" s="30">
        <v>91</v>
      </c>
      <c r="E411" s="27">
        <v>72.94</v>
      </c>
      <c r="F411" s="27">
        <v>71.92</v>
      </c>
      <c r="G411" s="26">
        <v>1337</v>
      </c>
      <c r="H411" s="32">
        <v>0.46400000000000002</v>
      </c>
      <c r="I411" s="27">
        <v>58.75</v>
      </c>
      <c r="J411" s="27">
        <v>69.5</v>
      </c>
      <c r="K411" s="26">
        <v>240</v>
      </c>
      <c r="L411" s="32">
        <v>0.85250000000000004</v>
      </c>
      <c r="M411" s="27">
        <v>67.53</v>
      </c>
      <c r="N411" s="27">
        <v>72.400000000000006</v>
      </c>
      <c r="O411" s="26">
        <v>592</v>
      </c>
      <c r="P411" s="32">
        <v>0.67674999999999996</v>
      </c>
      <c r="Q411" s="27">
        <v>72.84</v>
      </c>
      <c r="R411" s="27">
        <v>72.09</v>
      </c>
      <c r="S411" s="26">
        <v>1193</v>
      </c>
      <c r="T411" s="32">
        <v>0.47337499999999999</v>
      </c>
      <c r="U411" s="27">
        <v>73</v>
      </c>
      <c r="V411" s="27">
        <v>71.8</v>
      </c>
      <c r="W411" s="26">
        <v>1250</v>
      </c>
      <c r="X411" s="32">
        <v>0.45750000000000002</v>
      </c>
      <c r="Y411" s="27">
        <v>73.05</v>
      </c>
      <c r="Z411" s="27">
        <v>72.16</v>
      </c>
      <c r="AA411" s="26">
        <v>1206</v>
      </c>
      <c r="AB411" s="32">
        <v>0.46800000000000003</v>
      </c>
      <c r="AC411" s="27">
        <v>72.95</v>
      </c>
      <c r="AD411" s="27">
        <v>71.95</v>
      </c>
      <c r="AE411" s="26">
        <v>1225</v>
      </c>
      <c r="AF411" s="32">
        <v>0.46425</v>
      </c>
      <c r="AG411" s="27">
        <v>72.94</v>
      </c>
      <c r="AH411" s="27">
        <v>71.92</v>
      </c>
      <c r="AI411" s="26">
        <v>1227</v>
      </c>
      <c r="AJ411" s="32">
        <v>0.46387499999999998</v>
      </c>
    </row>
    <row r="412" spans="2:40" x14ac:dyDescent="0.2">
      <c r="B412" s="106"/>
      <c r="C412" s="105"/>
      <c r="D412" s="6" t="s">
        <v>8</v>
      </c>
      <c r="E412" s="7">
        <f t="shared" ref="E412:AJ412" si="76">AVERAGE(E407:E411)</f>
        <v>72.748000000000005</v>
      </c>
      <c r="F412" s="7">
        <f t="shared" si="76"/>
        <v>72.372</v>
      </c>
      <c r="G412" s="35">
        <f t="shared" si="76"/>
        <v>1163.2</v>
      </c>
      <c r="H412" s="34">
        <f t="shared" si="76"/>
        <v>0.48699999999999999</v>
      </c>
      <c r="I412" s="7">
        <f t="shared" si="76"/>
        <v>61.766000000000005</v>
      </c>
      <c r="J412" s="7">
        <f t="shared" si="76"/>
        <v>69.345999999999989</v>
      </c>
      <c r="K412" s="35">
        <f t="shared" si="76"/>
        <v>590</v>
      </c>
      <c r="L412" s="34">
        <f t="shared" si="76"/>
        <v>0.73485</v>
      </c>
      <c r="M412" s="7">
        <f t="shared" si="76"/>
        <v>70.657999999999987</v>
      </c>
      <c r="N412" s="7">
        <f t="shared" si="76"/>
        <v>71.722000000000008</v>
      </c>
      <c r="O412" s="35">
        <f t="shared" si="76"/>
        <v>1008.4</v>
      </c>
      <c r="P412" s="34">
        <f t="shared" si="76"/>
        <v>0.54132499999999995</v>
      </c>
      <c r="Q412" s="7">
        <f t="shared" si="76"/>
        <v>72.402000000000001</v>
      </c>
      <c r="R412" s="7">
        <f t="shared" si="76"/>
        <v>72.410000000000011</v>
      </c>
      <c r="S412" s="35">
        <f t="shared" si="76"/>
        <v>1099.8</v>
      </c>
      <c r="T412" s="34">
        <f t="shared" si="76"/>
        <v>0.50105</v>
      </c>
      <c r="U412" s="7">
        <f t="shared" si="76"/>
        <v>72.746000000000009</v>
      </c>
      <c r="V412" s="7">
        <f t="shared" si="76"/>
        <v>72.436000000000007</v>
      </c>
      <c r="W412" s="35">
        <f t="shared" si="76"/>
        <v>1132.8</v>
      </c>
      <c r="X412" s="34">
        <f t="shared" si="76"/>
        <v>0.48934999999999995</v>
      </c>
      <c r="Y412" s="7">
        <f t="shared" si="76"/>
        <v>72.77000000000001</v>
      </c>
      <c r="Z412" s="7">
        <f t="shared" si="76"/>
        <v>72.439999999999984</v>
      </c>
      <c r="AA412" s="35">
        <f t="shared" si="76"/>
        <v>1134</v>
      </c>
      <c r="AB412" s="34">
        <f t="shared" si="76"/>
        <v>0.48880000000000001</v>
      </c>
      <c r="AC412" s="7">
        <f t="shared" si="76"/>
        <v>72.745999999999995</v>
      </c>
      <c r="AD412" s="7">
        <f t="shared" si="76"/>
        <v>72.381999999999991</v>
      </c>
      <c r="AE412" s="35">
        <f t="shared" si="76"/>
        <v>1139.8</v>
      </c>
      <c r="AF412" s="34">
        <f t="shared" si="76"/>
        <v>0.48759999999999992</v>
      </c>
      <c r="AG412" s="7">
        <f t="shared" si="76"/>
        <v>72.745999999999995</v>
      </c>
      <c r="AH412" s="7">
        <f t="shared" si="76"/>
        <v>72.372</v>
      </c>
      <c r="AI412" s="35">
        <f t="shared" si="76"/>
        <v>1140.8</v>
      </c>
      <c r="AJ412" s="34">
        <f t="shared" si="76"/>
        <v>0.48735000000000001</v>
      </c>
      <c r="AM412" s="1">
        <f>(E412-Q412)*100/E412</f>
        <v>0.47561444988178864</v>
      </c>
      <c r="AN412" s="1">
        <f>(E412-U412)*100/E412</f>
        <v>2.7492164732987007E-3</v>
      </c>
    </row>
    <row r="413" spans="2:40" x14ac:dyDescent="0.2">
      <c r="B413" s="104">
        <v>1.4</v>
      </c>
      <c r="C413" s="105"/>
      <c r="D413" s="28">
        <v>13</v>
      </c>
      <c r="E413" s="51">
        <v>67.400000000000006</v>
      </c>
      <c r="F413" s="25">
        <v>72.650000000000006</v>
      </c>
      <c r="G413" s="25">
        <v>536</v>
      </c>
      <c r="H413" s="31">
        <v>0.69199999999999995</v>
      </c>
      <c r="I413" s="25">
        <v>53.1</v>
      </c>
      <c r="J413" s="1">
        <v>67.540000000000006</v>
      </c>
      <c r="K413" s="25">
        <v>96</v>
      </c>
      <c r="L413" s="36">
        <v>0.94499999999999995</v>
      </c>
      <c r="M413" s="25">
        <v>62.5</v>
      </c>
      <c r="N413" s="1">
        <v>70.91</v>
      </c>
      <c r="O413" s="25">
        <v>344</v>
      </c>
      <c r="P413" s="36">
        <v>0.78900000000000003</v>
      </c>
      <c r="Q413" s="25">
        <v>66.75</v>
      </c>
      <c r="R413" s="1">
        <v>72.42</v>
      </c>
      <c r="S413" s="25">
        <v>508</v>
      </c>
      <c r="T413" s="36">
        <v>0.70550000000000002</v>
      </c>
      <c r="U413" s="25">
        <v>67.36</v>
      </c>
      <c r="V413" s="1">
        <v>72.67</v>
      </c>
      <c r="W413" s="25">
        <v>529</v>
      </c>
      <c r="X413" s="36">
        <v>0.69412499999999999</v>
      </c>
      <c r="Y413" s="25">
        <v>67.36</v>
      </c>
      <c r="Z413" s="1">
        <v>72.67</v>
      </c>
      <c r="AA413" s="25">
        <v>528</v>
      </c>
      <c r="AB413" s="36">
        <v>0.69437499999999996</v>
      </c>
      <c r="AC413" s="25">
        <v>67.349999999999994</v>
      </c>
      <c r="AD413" s="1">
        <v>72.64</v>
      </c>
      <c r="AE413" s="25">
        <v>533</v>
      </c>
      <c r="AF413" s="36">
        <v>0.69325000000000003</v>
      </c>
      <c r="AG413" s="25">
        <v>67.400000000000006</v>
      </c>
      <c r="AH413" s="1">
        <v>72.650000000000006</v>
      </c>
      <c r="AI413" s="25">
        <v>536</v>
      </c>
      <c r="AJ413" s="36">
        <v>0.69199999999999995</v>
      </c>
    </row>
    <row r="414" spans="2:40" x14ac:dyDescent="0.2">
      <c r="B414" s="105"/>
      <c r="C414" s="105"/>
      <c r="D414" s="29">
        <v>21</v>
      </c>
      <c r="E414" s="4">
        <v>66.73</v>
      </c>
      <c r="F414" s="4">
        <v>71.900000000000006</v>
      </c>
      <c r="G414" s="1">
        <v>595</v>
      </c>
      <c r="H414" s="33">
        <v>0.68400000000000005</v>
      </c>
      <c r="I414" s="4">
        <v>50.11</v>
      </c>
      <c r="J414" s="4">
        <v>66.7</v>
      </c>
      <c r="K414" s="1">
        <v>3</v>
      </c>
      <c r="L414" s="8">
        <v>0.99812500000000004</v>
      </c>
      <c r="M414" s="4">
        <v>71.319999999999993</v>
      </c>
      <c r="N414" s="4">
        <v>72.150000000000006</v>
      </c>
      <c r="O414" s="1">
        <v>1028</v>
      </c>
      <c r="P414" s="8">
        <v>0.52975000000000005</v>
      </c>
      <c r="Q414" s="4">
        <v>66.319999999999993</v>
      </c>
      <c r="R414" s="4">
        <v>71.84</v>
      </c>
      <c r="S414" s="1">
        <v>564</v>
      </c>
      <c r="T414" s="8">
        <v>0.69574999999999998</v>
      </c>
      <c r="U414" s="4">
        <v>67.239999999999995</v>
      </c>
      <c r="V414" s="4">
        <v>72.099999999999994</v>
      </c>
      <c r="W414" s="1">
        <v>613</v>
      </c>
      <c r="X414" s="8">
        <v>0.67437499999999995</v>
      </c>
      <c r="Y414" s="4">
        <v>66.72</v>
      </c>
      <c r="Z414" s="4">
        <v>71.900000000000006</v>
      </c>
      <c r="AA414" s="1">
        <v>595</v>
      </c>
      <c r="AB414" s="8">
        <v>0.68400000000000005</v>
      </c>
      <c r="AC414" s="4">
        <v>66.66</v>
      </c>
      <c r="AD414" s="4">
        <v>71.88</v>
      </c>
      <c r="AE414" s="1">
        <v>591</v>
      </c>
      <c r="AF414" s="8">
        <v>0.68562500000000004</v>
      </c>
      <c r="AG414" s="4">
        <v>66.72</v>
      </c>
      <c r="AH414" s="4">
        <v>71.900000000000006</v>
      </c>
      <c r="AI414" s="1">
        <v>595</v>
      </c>
      <c r="AJ414" s="8">
        <v>0.68400000000000005</v>
      </c>
    </row>
    <row r="415" spans="2:40" x14ac:dyDescent="0.2">
      <c r="B415" s="105"/>
      <c r="C415" s="105"/>
      <c r="D415" s="29">
        <v>47</v>
      </c>
      <c r="E415" s="4">
        <v>67.209999999999994</v>
      </c>
      <c r="F415" s="4">
        <v>72.5</v>
      </c>
      <c r="G415" s="1">
        <v>542</v>
      </c>
      <c r="H415" s="8">
        <v>0.69199999999999995</v>
      </c>
      <c r="I415" s="4">
        <v>72.09</v>
      </c>
      <c r="J415" s="4">
        <v>72.010000000000005</v>
      </c>
      <c r="K415" s="1">
        <v>1128</v>
      </c>
      <c r="L415" s="8">
        <v>0.49712499999999998</v>
      </c>
      <c r="M415" s="4">
        <v>73.42</v>
      </c>
      <c r="N415" s="4">
        <v>72.83</v>
      </c>
      <c r="O415" s="1">
        <v>1151</v>
      </c>
      <c r="P415" s="8">
        <v>0.47799999999999998</v>
      </c>
      <c r="Q415" s="4">
        <v>67.180000000000007</v>
      </c>
      <c r="R415" s="4">
        <v>72.510000000000005</v>
      </c>
      <c r="S415" s="1">
        <v>536</v>
      </c>
      <c r="T415" s="8">
        <v>0.69425000000000003</v>
      </c>
      <c r="U415" s="4">
        <v>67.58</v>
      </c>
      <c r="V415" s="4">
        <v>72.61</v>
      </c>
      <c r="W415" s="1">
        <v>561</v>
      </c>
      <c r="X415" s="8">
        <v>0.68400000000000005</v>
      </c>
      <c r="Y415" s="4">
        <v>67.239999999999995</v>
      </c>
      <c r="Z415" s="4">
        <v>72.52</v>
      </c>
      <c r="AA415" s="1">
        <v>542</v>
      </c>
      <c r="AB415" s="8">
        <v>0.69212499999999999</v>
      </c>
      <c r="AC415" s="4">
        <v>67.239999999999995</v>
      </c>
      <c r="AD415" s="4">
        <v>72.52</v>
      </c>
      <c r="AE415" s="1">
        <v>542</v>
      </c>
      <c r="AF415" s="8">
        <v>0.69212499999999999</v>
      </c>
      <c r="AG415" s="4">
        <v>67.22</v>
      </c>
      <c r="AH415" s="4">
        <v>72.510000000000005</v>
      </c>
      <c r="AI415" s="1">
        <v>542</v>
      </c>
      <c r="AJ415" s="8">
        <v>0.69225000000000003</v>
      </c>
    </row>
    <row r="416" spans="2:40" x14ac:dyDescent="0.2">
      <c r="B416" s="105"/>
      <c r="C416" s="105"/>
      <c r="D416" s="29">
        <v>50</v>
      </c>
      <c r="E416" s="4">
        <v>66.989999999999995</v>
      </c>
      <c r="F416" s="4">
        <v>72.37</v>
      </c>
      <c r="G416" s="1">
        <v>542</v>
      </c>
      <c r="H416" s="8">
        <v>0.69499999999999995</v>
      </c>
      <c r="I416" s="4">
        <v>50.44</v>
      </c>
      <c r="J416" s="4">
        <v>66.77</v>
      </c>
      <c r="K416" s="1">
        <v>16</v>
      </c>
      <c r="L416" s="8">
        <v>0.99162499999999998</v>
      </c>
      <c r="M416" s="4">
        <v>61.39</v>
      </c>
      <c r="N416" s="4">
        <v>70.52</v>
      </c>
      <c r="O416" s="1">
        <v>305</v>
      </c>
      <c r="P416" s="8">
        <v>0.80987500000000001</v>
      </c>
      <c r="Q416" s="4">
        <v>64.260000000000005</v>
      </c>
      <c r="R416" s="4">
        <v>71.56</v>
      </c>
      <c r="S416" s="1">
        <v>403</v>
      </c>
      <c r="T416" s="8">
        <v>0.75662499999999999</v>
      </c>
      <c r="U416" s="4">
        <v>66.569999999999993</v>
      </c>
      <c r="V416" s="4">
        <v>72.28</v>
      </c>
      <c r="W416" s="1">
        <v>514</v>
      </c>
      <c r="X416" s="8">
        <v>0.70574999999999999</v>
      </c>
      <c r="Y416" s="4">
        <v>66.94</v>
      </c>
      <c r="Z416" s="4">
        <v>72.36</v>
      </c>
      <c r="AA416" s="1">
        <v>538</v>
      </c>
      <c r="AB416" s="8">
        <v>0.69612499999999999</v>
      </c>
      <c r="AC416" s="4">
        <v>67.06</v>
      </c>
      <c r="AD416" s="4">
        <v>72.400000000000006</v>
      </c>
      <c r="AE416" s="1">
        <v>544</v>
      </c>
      <c r="AF416" s="8">
        <v>0.69337499999999996</v>
      </c>
      <c r="AG416" s="4">
        <v>66.92</v>
      </c>
      <c r="AH416" s="4">
        <v>72.33</v>
      </c>
      <c r="AI416" s="1">
        <v>541</v>
      </c>
      <c r="AJ416" s="8">
        <v>0.69550000000000001</v>
      </c>
    </row>
    <row r="417" spans="2:40" x14ac:dyDescent="0.2">
      <c r="B417" s="105"/>
      <c r="C417" s="105"/>
      <c r="D417" s="30">
        <v>91</v>
      </c>
      <c r="E417" s="27">
        <v>70.06</v>
      </c>
      <c r="F417" s="27">
        <v>73.209999999999994</v>
      </c>
      <c r="G417" s="26">
        <v>728</v>
      </c>
      <c r="H417" s="32">
        <v>0.61699999999999999</v>
      </c>
      <c r="I417" s="27">
        <v>73.180000000000007</v>
      </c>
      <c r="J417" s="27">
        <v>72.790000000000006</v>
      </c>
      <c r="K417" s="26">
        <v>1129</v>
      </c>
      <c r="L417" s="32">
        <v>0.48599999999999999</v>
      </c>
      <c r="M417" s="27">
        <v>57.22</v>
      </c>
      <c r="N417" s="27">
        <v>69.099999999999994</v>
      </c>
      <c r="O417" s="26">
        <v>174</v>
      </c>
      <c r="P417" s="32">
        <v>0.88424999999999998</v>
      </c>
      <c r="Q417" s="27">
        <v>71.19</v>
      </c>
      <c r="R417" s="27">
        <v>73.25</v>
      </c>
      <c r="S417" s="26">
        <v>844</v>
      </c>
      <c r="T417" s="32">
        <v>0.577125</v>
      </c>
      <c r="U417" s="27">
        <v>70.81</v>
      </c>
      <c r="V417" s="27">
        <v>73.38</v>
      </c>
      <c r="W417" s="26">
        <v>782</v>
      </c>
      <c r="X417" s="32">
        <v>0.59637499999999999</v>
      </c>
      <c r="Y417" s="27">
        <v>70.040000000000006</v>
      </c>
      <c r="Z417" s="27">
        <v>73.2</v>
      </c>
      <c r="AA417" s="26">
        <v>727</v>
      </c>
      <c r="AB417" s="32">
        <v>0.61787499999999995</v>
      </c>
      <c r="AC417" s="27">
        <v>70.06</v>
      </c>
      <c r="AD417" s="27">
        <v>73.209999999999994</v>
      </c>
      <c r="AE417" s="26">
        <v>728</v>
      </c>
      <c r="AF417" s="32">
        <v>0.61737500000000001</v>
      </c>
      <c r="AG417" s="27">
        <v>70.06</v>
      </c>
      <c r="AH417" s="27">
        <v>73.209999999999994</v>
      </c>
      <c r="AI417" s="26">
        <v>728</v>
      </c>
      <c r="AJ417" s="32">
        <v>0.61737500000000001</v>
      </c>
    </row>
    <row r="418" spans="2:40" x14ac:dyDescent="0.2">
      <c r="B418" s="106"/>
      <c r="C418" s="106"/>
      <c r="D418" s="6" t="s">
        <v>8</v>
      </c>
      <c r="E418" s="7">
        <f t="shared" ref="E418:AJ418" si="77">AVERAGE(E413:E417)</f>
        <v>67.677999999999997</v>
      </c>
      <c r="F418" s="7">
        <f t="shared" si="77"/>
        <v>72.525999999999996</v>
      </c>
      <c r="G418" s="35">
        <f t="shared" si="77"/>
        <v>588.6</v>
      </c>
      <c r="H418" s="34">
        <f t="shared" si="77"/>
        <v>0.67599999999999993</v>
      </c>
      <c r="I418" s="7">
        <f t="shared" si="77"/>
        <v>59.784000000000006</v>
      </c>
      <c r="J418" s="7">
        <f t="shared" si="77"/>
        <v>69.162000000000006</v>
      </c>
      <c r="K418" s="35">
        <f t="shared" si="77"/>
        <v>474.4</v>
      </c>
      <c r="L418" s="34">
        <f t="shared" si="77"/>
        <v>0.78357499999999991</v>
      </c>
      <c r="M418" s="7">
        <f t="shared" si="77"/>
        <v>65.17</v>
      </c>
      <c r="N418" s="7">
        <f t="shared" si="77"/>
        <v>71.102000000000004</v>
      </c>
      <c r="O418" s="35">
        <f t="shared" si="77"/>
        <v>600.4</v>
      </c>
      <c r="P418" s="34">
        <f t="shared" si="77"/>
        <v>0.69817499999999999</v>
      </c>
      <c r="Q418" s="7">
        <f t="shared" si="77"/>
        <v>67.14</v>
      </c>
      <c r="R418" s="7">
        <f t="shared" si="77"/>
        <v>72.316000000000003</v>
      </c>
      <c r="S418" s="35">
        <f t="shared" si="77"/>
        <v>571</v>
      </c>
      <c r="T418" s="34">
        <f t="shared" si="77"/>
        <v>0.68585000000000007</v>
      </c>
      <c r="U418" s="7">
        <f t="shared" si="77"/>
        <v>67.912000000000006</v>
      </c>
      <c r="V418" s="7">
        <f t="shared" si="77"/>
        <v>72.60799999999999</v>
      </c>
      <c r="W418" s="35">
        <f t="shared" si="77"/>
        <v>599.79999999999995</v>
      </c>
      <c r="X418" s="34">
        <f t="shared" si="77"/>
        <v>0.6709250000000001</v>
      </c>
      <c r="Y418" s="7">
        <f t="shared" si="77"/>
        <v>67.66</v>
      </c>
      <c r="Z418" s="7">
        <f t="shared" si="77"/>
        <v>72.53</v>
      </c>
      <c r="AA418" s="35">
        <f t="shared" si="77"/>
        <v>586</v>
      </c>
      <c r="AB418" s="34">
        <f t="shared" si="77"/>
        <v>0.67690000000000006</v>
      </c>
      <c r="AC418" s="7">
        <f t="shared" si="77"/>
        <v>67.674000000000007</v>
      </c>
      <c r="AD418" s="7">
        <f t="shared" si="77"/>
        <v>72.529999999999987</v>
      </c>
      <c r="AE418" s="35">
        <f t="shared" si="77"/>
        <v>587.6</v>
      </c>
      <c r="AF418" s="34">
        <f t="shared" si="77"/>
        <v>0.67635000000000001</v>
      </c>
      <c r="AG418" s="7">
        <f t="shared" si="77"/>
        <v>67.664000000000001</v>
      </c>
      <c r="AH418" s="7">
        <f t="shared" si="77"/>
        <v>72.52</v>
      </c>
      <c r="AI418" s="35">
        <f t="shared" si="77"/>
        <v>588.4</v>
      </c>
      <c r="AJ418" s="34">
        <f t="shared" si="77"/>
        <v>0.67622499999999997</v>
      </c>
      <c r="AM418" s="1">
        <f>(E418-Q418)*100/E418</f>
        <v>0.79494074884009092</v>
      </c>
      <c r="AN418" s="1">
        <f>(E418-U418)*100/E418</f>
        <v>-0.34575489819440419</v>
      </c>
    </row>
    <row r="419" spans="2:40" x14ac:dyDescent="0.2">
      <c r="B419" s="102">
        <v>1</v>
      </c>
      <c r="C419" s="104">
        <v>16</v>
      </c>
      <c r="D419" s="28">
        <v>13</v>
      </c>
      <c r="E419" s="51">
        <v>73.099999999999994</v>
      </c>
      <c r="F419" s="1">
        <v>70.540000000000006</v>
      </c>
      <c r="G419" s="25">
        <v>1423</v>
      </c>
      <c r="H419" s="31">
        <v>0.41299999999999998</v>
      </c>
      <c r="I419" s="25">
        <v>50.01</v>
      </c>
      <c r="J419" s="1">
        <v>66.67</v>
      </c>
      <c r="K419" s="25">
        <v>0</v>
      </c>
      <c r="L419" s="36">
        <v>0.99987499999999996</v>
      </c>
      <c r="M419" s="25">
        <v>71.7</v>
      </c>
      <c r="N419" s="1">
        <v>73.45</v>
      </c>
      <c r="O419" s="25">
        <v>868</v>
      </c>
      <c r="P419" s="36">
        <v>0.56599999999999995</v>
      </c>
      <c r="Q419" s="25">
        <v>72.61</v>
      </c>
      <c r="R419" s="1">
        <v>69.319999999999993</v>
      </c>
      <c r="S419" s="25">
        <v>1525</v>
      </c>
      <c r="T419" s="36">
        <v>0.392625</v>
      </c>
      <c r="U419" s="25">
        <v>73.02</v>
      </c>
      <c r="V419" s="1">
        <v>70.39</v>
      </c>
      <c r="W419" s="25">
        <v>1435</v>
      </c>
      <c r="X419" s="36">
        <v>0.41099999999999998</v>
      </c>
      <c r="Y419" s="25">
        <v>73.14</v>
      </c>
      <c r="Z419" s="1">
        <v>70.62</v>
      </c>
      <c r="AA419" s="25">
        <v>1417</v>
      </c>
      <c r="AB419" s="36">
        <v>0.41437499999999999</v>
      </c>
      <c r="AC419" s="25">
        <v>73.099999999999994</v>
      </c>
      <c r="AD419" s="1">
        <v>70.540000000000006</v>
      </c>
      <c r="AE419" s="25">
        <v>1424</v>
      </c>
      <c r="AF419" s="36">
        <v>0.41299999999999998</v>
      </c>
      <c r="AG419" s="25">
        <v>73.11</v>
      </c>
      <c r="AH419" s="1">
        <v>70.55</v>
      </c>
      <c r="AI419" s="25">
        <v>1423</v>
      </c>
      <c r="AJ419" s="36">
        <v>0.41312500000000002</v>
      </c>
    </row>
    <row r="420" spans="2:40" x14ac:dyDescent="0.2">
      <c r="B420" s="103"/>
      <c r="C420" s="105"/>
      <c r="D420" s="29">
        <v>21</v>
      </c>
      <c r="E420" s="4">
        <v>72.989999999999995</v>
      </c>
      <c r="F420" s="4">
        <v>71.010000000000005</v>
      </c>
      <c r="G420" s="1">
        <v>1353</v>
      </c>
      <c r="H420" s="8">
        <v>0.432</v>
      </c>
      <c r="I420" s="4">
        <v>58.25</v>
      </c>
      <c r="J420" s="4">
        <v>30.15</v>
      </c>
      <c r="K420" s="1">
        <v>3279</v>
      </c>
      <c r="L420" s="8">
        <v>9.7750000000000004E-2</v>
      </c>
      <c r="M420" s="4">
        <v>62.29</v>
      </c>
      <c r="N420" s="4">
        <v>70.849999999999994</v>
      </c>
      <c r="O420" s="1">
        <v>334</v>
      </c>
      <c r="P420" s="8">
        <v>0.79362500000000002</v>
      </c>
      <c r="Q420" s="4">
        <v>72.92</v>
      </c>
      <c r="R420" s="4">
        <v>70.84</v>
      </c>
      <c r="S420" s="1">
        <v>1369</v>
      </c>
      <c r="T420" s="8">
        <v>0.42849999999999999</v>
      </c>
      <c r="U420" s="4">
        <v>73.02</v>
      </c>
      <c r="V420" s="4">
        <v>70.849999999999994</v>
      </c>
      <c r="W420" s="1">
        <v>1378</v>
      </c>
      <c r="X420" s="8">
        <v>0.42525000000000002</v>
      </c>
      <c r="Y420" s="4">
        <v>73.02</v>
      </c>
      <c r="Z420" s="4">
        <v>70.989999999999995</v>
      </c>
      <c r="AA420" s="1">
        <v>1359</v>
      </c>
      <c r="AB420" s="8">
        <v>0.43</v>
      </c>
      <c r="AC420" s="4">
        <v>72.959999999999994</v>
      </c>
      <c r="AD420" s="4">
        <v>71</v>
      </c>
      <c r="AE420" s="1">
        <v>1352</v>
      </c>
      <c r="AF420" s="8">
        <v>0.43237500000000001</v>
      </c>
      <c r="AG420" s="4">
        <v>73</v>
      </c>
      <c r="AH420" s="4">
        <v>71.02</v>
      </c>
      <c r="AI420" s="1">
        <v>1353</v>
      </c>
      <c r="AJ420" s="8">
        <v>0.43175000000000002</v>
      </c>
    </row>
    <row r="421" spans="2:40" x14ac:dyDescent="0.2">
      <c r="B421" s="103"/>
      <c r="C421" s="105"/>
      <c r="D421" s="29">
        <v>47</v>
      </c>
      <c r="E421" s="4">
        <v>73.08</v>
      </c>
      <c r="F421" s="4">
        <v>71.44</v>
      </c>
      <c r="G421" s="1">
        <v>1306</v>
      </c>
      <c r="H421" s="8">
        <v>0.443</v>
      </c>
      <c r="I421" s="4">
        <v>50.01</v>
      </c>
      <c r="J421" s="4">
        <v>66.67</v>
      </c>
      <c r="K421" s="1">
        <v>0</v>
      </c>
      <c r="L421" s="8">
        <v>0.99987499999999996</v>
      </c>
      <c r="M421" s="4">
        <v>65.75</v>
      </c>
      <c r="N421" s="4">
        <v>51.93</v>
      </c>
      <c r="O421" s="1">
        <v>2520</v>
      </c>
      <c r="P421" s="8">
        <v>0.21249999999999999</v>
      </c>
      <c r="Q421" s="4">
        <v>73.010000000000005</v>
      </c>
      <c r="R421" s="4">
        <v>72.66</v>
      </c>
      <c r="S421" s="1">
        <v>1131</v>
      </c>
      <c r="T421" s="8">
        <v>0.48712499999999997</v>
      </c>
      <c r="U421" s="4">
        <v>73.12</v>
      </c>
      <c r="V421" s="4">
        <v>71.23</v>
      </c>
      <c r="W421" s="1">
        <v>1339</v>
      </c>
      <c r="X421" s="8">
        <v>0.434</v>
      </c>
      <c r="Y421" s="4">
        <v>73.06</v>
      </c>
      <c r="Z421" s="4">
        <v>71.38</v>
      </c>
      <c r="AA421" s="1">
        <v>1312</v>
      </c>
      <c r="AB421" s="8">
        <v>0.44137500000000002</v>
      </c>
      <c r="AC421" s="4">
        <v>73.05</v>
      </c>
      <c r="AD421" s="4">
        <v>71.38</v>
      </c>
      <c r="AE421" s="1">
        <v>1311</v>
      </c>
      <c r="AF421" s="8">
        <v>0.44174999999999998</v>
      </c>
      <c r="AG421" s="4">
        <v>73.08</v>
      </c>
      <c r="AH421" s="4">
        <v>71.44</v>
      </c>
      <c r="AI421" s="1">
        <v>1306</v>
      </c>
      <c r="AJ421" s="8">
        <v>0.44274999999999998</v>
      </c>
    </row>
    <row r="422" spans="2:40" x14ac:dyDescent="0.2">
      <c r="B422" s="103"/>
      <c r="C422" s="105"/>
      <c r="D422" s="29">
        <v>50</v>
      </c>
      <c r="E422" s="4">
        <v>73</v>
      </c>
      <c r="F422" s="4">
        <v>71.849999999999994</v>
      </c>
      <c r="G422" s="1">
        <v>1244</v>
      </c>
      <c r="H422" s="8">
        <v>0.45900000000000002</v>
      </c>
      <c r="I422" s="4">
        <v>55.68</v>
      </c>
      <c r="J422" s="4">
        <v>21.41</v>
      </c>
      <c r="K422" s="1">
        <v>3517</v>
      </c>
      <c r="L422" s="8">
        <v>6.4000000000000001E-2</v>
      </c>
      <c r="M422" s="4">
        <v>68.69</v>
      </c>
      <c r="N422" s="4">
        <v>59.29</v>
      </c>
      <c r="O422" s="1">
        <v>2176</v>
      </c>
      <c r="P422" s="8">
        <v>0.269125</v>
      </c>
      <c r="Q422" s="4">
        <v>73.099999999999994</v>
      </c>
      <c r="R422" s="4">
        <v>71.66</v>
      </c>
      <c r="S422" s="1">
        <v>1279</v>
      </c>
      <c r="T422" s="8">
        <v>0.44924999999999998</v>
      </c>
      <c r="U422" s="4">
        <v>73</v>
      </c>
      <c r="V422" s="4">
        <v>71.989999999999995</v>
      </c>
      <c r="W422" s="1">
        <v>1224</v>
      </c>
      <c r="X422" s="8">
        <v>0.46400000000000002</v>
      </c>
      <c r="Y422" s="4">
        <v>72.989999999999995</v>
      </c>
      <c r="Z422" s="4">
        <v>71.84</v>
      </c>
      <c r="AA422" s="1">
        <v>1244</v>
      </c>
      <c r="AB422" s="8">
        <v>0.45912500000000001</v>
      </c>
      <c r="AC422" s="4">
        <v>73</v>
      </c>
      <c r="AD422" s="4">
        <v>71.84</v>
      </c>
      <c r="AE422" s="1">
        <v>1245</v>
      </c>
      <c r="AF422" s="8">
        <v>0.45874999999999999</v>
      </c>
      <c r="AG422" s="4">
        <v>73</v>
      </c>
      <c r="AH422" s="4">
        <v>71.84</v>
      </c>
      <c r="AI422" s="1">
        <v>1245</v>
      </c>
      <c r="AJ422" s="8">
        <v>0.45874999999999999</v>
      </c>
    </row>
    <row r="423" spans="2:40" x14ac:dyDescent="0.2">
      <c r="B423" s="103"/>
      <c r="C423" s="105"/>
      <c r="D423" s="30">
        <v>91</v>
      </c>
      <c r="E423" s="27">
        <v>72.959999999999994</v>
      </c>
      <c r="F423" s="27">
        <v>71.349999999999994</v>
      </c>
      <c r="G423" s="26">
        <v>1307</v>
      </c>
      <c r="H423" s="32">
        <v>0.44400000000000001</v>
      </c>
      <c r="I423" s="27">
        <v>71.599999999999994</v>
      </c>
      <c r="J423" s="27">
        <v>67.89</v>
      </c>
      <c r="K423" s="26">
        <v>1598</v>
      </c>
      <c r="L423" s="32">
        <v>0.38450000000000001</v>
      </c>
      <c r="M423" s="27">
        <v>58.29</v>
      </c>
      <c r="N423" s="27">
        <v>69.52</v>
      </c>
      <c r="O423" s="26">
        <v>194</v>
      </c>
      <c r="P423" s="32">
        <v>0.86862499999999998</v>
      </c>
      <c r="Q423" s="27">
        <v>72.69</v>
      </c>
      <c r="R423" s="27">
        <v>72.2</v>
      </c>
      <c r="S423" s="26">
        <v>1163</v>
      </c>
      <c r="T423" s="32">
        <v>0.482375</v>
      </c>
      <c r="U423" s="27">
        <v>72.75</v>
      </c>
      <c r="V423" s="27">
        <v>72.03</v>
      </c>
      <c r="W423" s="26">
        <v>1193</v>
      </c>
      <c r="X423" s="32">
        <v>0.47425</v>
      </c>
      <c r="Y423" s="27">
        <v>73</v>
      </c>
      <c r="Z423" s="27">
        <v>71.41</v>
      </c>
      <c r="AA423" s="26">
        <v>1303</v>
      </c>
      <c r="AB423" s="32">
        <v>0.44424999999999998</v>
      </c>
      <c r="AC423" s="27">
        <v>72.989999999999995</v>
      </c>
      <c r="AD423" s="27">
        <v>71.39</v>
      </c>
      <c r="AE423" s="26">
        <v>1304</v>
      </c>
      <c r="AF423" s="32">
        <v>0.44412499999999999</v>
      </c>
      <c r="AG423" s="27">
        <v>72.97</v>
      </c>
      <c r="AH423" s="27">
        <v>71.36</v>
      </c>
      <c r="AI423" s="26">
        <v>1306</v>
      </c>
      <c r="AJ423" s="32">
        <v>0.44374999999999998</v>
      </c>
    </row>
    <row r="424" spans="2:40" x14ac:dyDescent="0.2">
      <c r="B424" s="101"/>
      <c r="C424" s="105"/>
      <c r="D424" s="6" t="s">
        <v>8</v>
      </c>
      <c r="E424" s="7">
        <f t="shared" ref="E424:AJ424" si="78">AVERAGE(E419:E423)</f>
        <v>73.025999999999982</v>
      </c>
      <c r="F424" s="7">
        <f t="shared" si="78"/>
        <v>71.238000000000014</v>
      </c>
      <c r="G424" s="35">
        <f t="shared" si="78"/>
        <v>1326.6</v>
      </c>
      <c r="H424" s="34">
        <f t="shared" si="78"/>
        <v>0.43820000000000003</v>
      </c>
      <c r="I424" s="7">
        <f t="shared" si="78"/>
        <v>57.109999999999992</v>
      </c>
      <c r="J424" s="7">
        <f t="shared" si="78"/>
        <v>50.558000000000007</v>
      </c>
      <c r="K424" s="35">
        <f t="shared" si="78"/>
        <v>1678.8</v>
      </c>
      <c r="L424" s="34">
        <f t="shared" si="78"/>
        <v>0.50919999999999999</v>
      </c>
      <c r="M424" s="7">
        <f t="shared" si="78"/>
        <v>65.344000000000008</v>
      </c>
      <c r="N424" s="7">
        <f t="shared" si="78"/>
        <v>65.00800000000001</v>
      </c>
      <c r="O424" s="35">
        <f t="shared" si="78"/>
        <v>1218.4000000000001</v>
      </c>
      <c r="P424" s="34">
        <f t="shared" si="78"/>
        <v>0.54197499999999998</v>
      </c>
      <c r="Q424" s="7">
        <f t="shared" si="78"/>
        <v>72.866</v>
      </c>
      <c r="R424" s="7">
        <f t="shared" si="78"/>
        <v>71.335999999999999</v>
      </c>
      <c r="S424" s="35">
        <f t="shared" si="78"/>
        <v>1293.4000000000001</v>
      </c>
      <c r="T424" s="34">
        <f t="shared" si="78"/>
        <v>0.4479749999999999</v>
      </c>
      <c r="U424" s="7">
        <f t="shared" si="78"/>
        <v>72.981999999999999</v>
      </c>
      <c r="V424" s="7">
        <f t="shared" si="78"/>
        <v>71.298000000000002</v>
      </c>
      <c r="W424" s="35">
        <f t="shared" si="78"/>
        <v>1313.8</v>
      </c>
      <c r="X424" s="34">
        <f t="shared" si="78"/>
        <v>0.44169999999999998</v>
      </c>
      <c r="Y424" s="7">
        <f t="shared" si="78"/>
        <v>73.042000000000002</v>
      </c>
      <c r="Z424" s="7">
        <f t="shared" si="78"/>
        <v>71.248000000000005</v>
      </c>
      <c r="AA424" s="35">
        <f t="shared" si="78"/>
        <v>1327</v>
      </c>
      <c r="AB424" s="34">
        <f t="shared" si="78"/>
        <v>0.43782499999999996</v>
      </c>
      <c r="AC424" s="7">
        <f t="shared" si="78"/>
        <v>73.02000000000001</v>
      </c>
      <c r="AD424" s="7">
        <f t="shared" si="78"/>
        <v>71.22999999999999</v>
      </c>
      <c r="AE424" s="35">
        <f t="shared" si="78"/>
        <v>1327.2</v>
      </c>
      <c r="AF424" s="34">
        <f t="shared" si="78"/>
        <v>0.438</v>
      </c>
      <c r="AG424" s="7">
        <f t="shared" si="78"/>
        <v>73.031999999999996</v>
      </c>
      <c r="AH424" s="7">
        <f t="shared" si="78"/>
        <v>71.242000000000004</v>
      </c>
      <c r="AI424" s="35">
        <f t="shared" si="78"/>
        <v>1326.6</v>
      </c>
      <c r="AJ424" s="34">
        <f t="shared" si="78"/>
        <v>0.438025</v>
      </c>
      <c r="AM424" s="1">
        <f>(E424-Q424)*100/E424</f>
        <v>0.21910004655873583</v>
      </c>
      <c r="AN424" s="1">
        <f>(E424-U424)*100/E424</f>
        <v>6.0252512803635319E-2</v>
      </c>
    </row>
    <row r="425" spans="2:40" x14ac:dyDescent="0.2">
      <c r="B425" s="104">
        <v>1.2</v>
      </c>
      <c r="C425" s="105"/>
      <c r="D425" s="28">
        <v>13</v>
      </c>
      <c r="E425" s="25">
        <v>72.89</v>
      </c>
      <c r="F425" s="25">
        <v>71.989999999999995</v>
      </c>
      <c r="G425" s="25">
        <v>1213</v>
      </c>
      <c r="H425" s="31">
        <v>0.46800000000000003</v>
      </c>
      <c r="I425" s="25">
        <v>64.95</v>
      </c>
      <c r="J425" s="1">
        <v>51.15</v>
      </c>
      <c r="K425" s="25">
        <v>2532</v>
      </c>
      <c r="L425" s="36">
        <v>0.2175</v>
      </c>
      <c r="M425" s="25">
        <v>69.88</v>
      </c>
      <c r="N425" s="1">
        <v>63.38</v>
      </c>
      <c r="O425" s="25">
        <v>1914</v>
      </c>
      <c r="P425" s="36">
        <v>0.32274999999999998</v>
      </c>
      <c r="Q425" s="25">
        <v>72.72</v>
      </c>
      <c r="R425" s="1">
        <v>72.040000000000006</v>
      </c>
      <c r="S425" s="25">
        <v>1189</v>
      </c>
      <c r="T425" s="36">
        <v>0.47549999999999998</v>
      </c>
      <c r="U425" s="25">
        <v>72.62</v>
      </c>
      <c r="V425" s="1">
        <v>72.599999999999994</v>
      </c>
      <c r="W425" s="25">
        <v>1098</v>
      </c>
      <c r="X425" s="36">
        <v>0.49925000000000003</v>
      </c>
      <c r="Y425" s="25">
        <v>72.88</v>
      </c>
      <c r="Z425" s="1">
        <v>71.91</v>
      </c>
      <c r="AA425" s="25">
        <v>1223</v>
      </c>
      <c r="AB425" s="36">
        <v>0.46550000000000002</v>
      </c>
      <c r="AC425" s="25">
        <v>72.89</v>
      </c>
      <c r="AD425" s="1">
        <v>72.02</v>
      </c>
      <c r="AE425" s="25">
        <v>1208</v>
      </c>
      <c r="AF425" s="36">
        <v>0.46912500000000001</v>
      </c>
      <c r="AG425" s="25">
        <v>72.88</v>
      </c>
      <c r="AH425" s="1">
        <v>71.98</v>
      </c>
      <c r="AI425" s="25">
        <v>1213</v>
      </c>
      <c r="AJ425" s="36">
        <v>0.46800000000000003</v>
      </c>
    </row>
    <row r="426" spans="2:40" x14ac:dyDescent="0.2">
      <c r="B426" s="105"/>
      <c r="C426" s="105"/>
      <c r="D426" s="29">
        <v>21</v>
      </c>
      <c r="E426" s="4">
        <v>71.33</v>
      </c>
      <c r="F426" s="4">
        <v>73.05</v>
      </c>
      <c r="G426" s="1">
        <v>891</v>
      </c>
      <c r="H426" s="8">
        <v>0.56399999999999995</v>
      </c>
      <c r="I426" s="4">
        <v>50.08</v>
      </c>
      <c r="J426" s="4">
        <v>0.3</v>
      </c>
      <c r="K426" s="1">
        <v>3994</v>
      </c>
      <c r="L426" s="8">
        <v>7.5000000000000002E-4</v>
      </c>
      <c r="M426" s="4">
        <v>71.97</v>
      </c>
      <c r="N426" s="4">
        <v>72.959999999999994</v>
      </c>
      <c r="O426" s="1">
        <v>975</v>
      </c>
      <c r="P426" s="8">
        <v>0.53649999999999998</v>
      </c>
      <c r="Q426" s="4">
        <v>72.239999999999995</v>
      </c>
      <c r="R426" s="4">
        <v>72.94</v>
      </c>
      <c r="S426" s="1">
        <v>1006</v>
      </c>
      <c r="T426" s="8">
        <v>0.52612499999999995</v>
      </c>
      <c r="U426" s="4">
        <v>70.989999999999995</v>
      </c>
      <c r="V426" s="4">
        <v>73.510000000000005</v>
      </c>
      <c r="W426" s="1">
        <v>780</v>
      </c>
      <c r="X426" s="8">
        <v>0.59512500000000002</v>
      </c>
      <c r="Y426" s="4">
        <v>71.34</v>
      </c>
      <c r="Z426" s="4">
        <v>73.069999999999993</v>
      </c>
      <c r="AA426" s="1">
        <v>889</v>
      </c>
      <c r="AB426" s="8">
        <v>0.56437499999999996</v>
      </c>
      <c r="AC426" s="4">
        <v>71.31</v>
      </c>
      <c r="AD426" s="4">
        <v>73.06</v>
      </c>
      <c r="AE426" s="1">
        <v>888</v>
      </c>
      <c r="AF426" s="8">
        <v>0.56487500000000002</v>
      </c>
      <c r="AG426" s="4">
        <v>71.3</v>
      </c>
      <c r="AH426" s="4">
        <v>73.02</v>
      </c>
      <c r="AI426" s="1">
        <v>893</v>
      </c>
      <c r="AJ426" s="8">
        <v>0.56374999999999997</v>
      </c>
    </row>
    <row r="427" spans="2:40" x14ac:dyDescent="0.2">
      <c r="B427" s="105"/>
      <c r="C427" s="105"/>
      <c r="D427" s="29">
        <v>47</v>
      </c>
      <c r="E427" s="4">
        <v>71.349999999999994</v>
      </c>
      <c r="F427" s="4">
        <v>72.88</v>
      </c>
      <c r="G427" s="1">
        <v>920</v>
      </c>
      <c r="H427" s="8">
        <v>0.55700000000000005</v>
      </c>
      <c r="I427" s="4">
        <v>50</v>
      </c>
      <c r="J427" s="4"/>
      <c r="K427" s="1">
        <v>4000</v>
      </c>
      <c r="L427" s="8">
        <v>0</v>
      </c>
      <c r="M427" s="4">
        <v>72.14</v>
      </c>
      <c r="N427" s="4">
        <v>71.03</v>
      </c>
      <c r="O427" s="1">
        <v>1267</v>
      </c>
      <c r="P427" s="8">
        <v>0.46187499999999998</v>
      </c>
      <c r="Q427" s="4">
        <v>70.930000000000007</v>
      </c>
      <c r="R427" s="4">
        <v>73.040000000000006</v>
      </c>
      <c r="S427" s="1">
        <v>849</v>
      </c>
      <c r="T427" s="8">
        <v>0.57850000000000001</v>
      </c>
      <c r="U427" s="4">
        <v>71.25</v>
      </c>
      <c r="V427" s="4">
        <v>72.790000000000006</v>
      </c>
      <c r="W427" s="1">
        <v>923</v>
      </c>
      <c r="X427" s="8">
        <v>0.55674999999999997</v>
      </c>
      <c r="Y427" s="4">
        <v>71.319999999999993</v>
      </c>
      <c r="Z427" s="4">
        <v>72.77</v>
      </c>
      <c r="AA427" s="1">
        <v>934</v>
      </c>
      <c r="AB427" s="8">
        <v>0.55325000000000002</v>
      </c>
      <c r="AC427" s="4">
        <v>71.31</v>
      </c>
      <c r="AD427" s="4">
        <v>72.86</v>
      </c>
      <c r="AE427" s="1">
        <v>920</v>
      </c>
      <c r="AF427" s="8">
        <v>0.55687500000000001</v>
      </c>
      <c r="AG427" s="4">
        <v>71.34</v>
      </c>
      <c r="AH427" s="4">
        <v>72.87</v>
      </c>
      <c r="AI427" s="1">
        <v>921</v>
      </c>
      <c r="AJ427" s="8">
        <v>0.55637499999999995</v>
      </c>
    </row>
    <row r="428" spans="2:40" x14ac:dyDescent="0.2">
      <c r="B428" s="105"/>
      <c r="C428" s="105"/>
      <c r="D428" s="29">
        <v>50</v>
      </c>
      <c r="E428" s="4">
        <v>72.52</v>
      </c>
      <c r="F428" s="4">
        <v>71.930000000000007</v>
      </c>
      <c r="G428" s="1">
        <v>1184</v>
      </c>
      <c r="H428" s="8">
        <v>0.47899999999999998</v>
      </c>
      <c r="I428" s="4">
        <v>51.15</v>
      </c>
      <c r="J428" s="4">
        <v>67.03</v>
      </c>
      <c r="K428" s="1">
        <v>28</v>
      </c>
      <c r="L428" s="8">
        <v>0.98150000000000004</v>
      </c>
      <c r="M428" s="4">
        <v>69.62</v>
      </c>
      <c r="N428" s="4">
        <v>73.040000000000006</v>
      </c>
      <c r="O428" s="1">
        <v>708</v>
      </c>
      <c r="P428" s="8">
        <v>0.62675000000000003</v>
      </c>
      <c r="Q428" s="4">
        <v>72.28</v>
      </c>
      <c r="R428" s="4">
        <v>68.760000000000005</v>
      </c>
      <c r="S428" s="1">
        <v>1559</v>
      </c>
      <c r="T428" s="8">
        <v>0.38750000000000001</v>
      </c>
      <c r="U428" s="4">
        <v>72.540000000000006</v>
      </c>
      <c r="V428" s="4">
        <v>72.06</v>
      </c>
      <c r="W428" s="1">
        <v>1167</v>
      </c>
      <c r="X428" s="8">
        <v>0.482875</v>
      </c>
      <c r="Y428" s="4">
        <v>72.540000000000006</v>
      </c>
      <c r="Z428" s="4">
        <v>72.03</v>
      </c>
      <c r="AA428" s="1">
        <v>1171</v>
      </c>
      <c r="AB428" s="8">
        <v>0.481875</v>
      </c>
      <c r="AC428" s="4">
        <v>72.5</v>
      </c>
      <c r="AD428" s="4">
        <v>71.92</v>
      </c>
      <c r="AE428" s="1">
        <v>1182</v>
      </c>
      <c r="AF428" s="8">
        <v>0.47949999999999998</v>
      </c>
      <c r="AG428" s="4">
        <v>72.5</v>
      </c>
      <c r="AH428" s="4">
        <v>71.91</v>
      </c>
      <c r="AI428" s="1">
        <v>1184</v>
      </c>
      <c r="AJ428" s="8">
        <v>0.47899999999999998</v>
      </c>
    </row>
    <row r="429" spans="2:40" x14ac:dyDescent="0.2">
      <c r="B429" s="105"/>
      <c r="C429" s="105"/>
      <c r="D429" s="30">
        <v>91</v>
      </c>
      <c r="E429" s="27">
        <v>71.45</v>
      </c>
      <c r="F429" s="27">
        <v>72.569999999999993</v>
      </c>
      <c r="G429" s="26">
        <v>979</v>
      </c>
      <c r="H429" s="32">
        <v>0.54100000000000004</v>
      </c>
      <c r="I429" s="27">
        <v>58.9</v>
      </c>
      <c r="J429" s="27">
        <v>69.53</v>
      </c>
      <c r="K429" s="26">
        <v>249</v>
      </c>
      <c r="L429" s="32">
        <v>0.84875</v>
      </c>
      <c r="M429" s="27">
        <v>57.85</v>
      </c>
      <c r="N429" s="27">
        <v>69.3</v>
      </c>
      <c r="O429" s="26">
        <v>195</v>
      </c>
      <c r="P429" s="32">
        <v>0.87275000000000003</v>
      </c>
      <c r="Q429" s="27">
        <v>71</v>
      </c>
      <c r="R429" s="27">
        <v>73.05</v>
      </c>
      <c r="S429" s="26">
        <v>856</v>
      </c>
      <c r="T429" s="32">
        <v>0.57599999999999996</v>
      </c>
      <c r="U429" s="27">
        <v>71.38</v>
      </c>
      <c r="V429" s="27">
        <v>72.56</v>
      </c>
      <c r="W429" s="26">
        <v>973</v>
      </c>
      <c r="X429" s="32">
        <v>0.54300000000000004</v>
      </c>
      <c r="Y429" s="27">
        <v>71.5</v>
      </c>
      <c r="Z429" s="27">
        <v>72.53</v>
      </c>
      <c r="AA429" s="26">
        <v>990</v>
      </c>
      <c r="AB429" s="32">
        <v>0.53749999999999998</v>
      </c>
      <c r="AC429" s="27">
        <v>71.459999999999994</v>
      </c>
      <c r="AD429" s="27">
        <v>72.569999999999993</v>
      </c>
      <c r="AE429" s="26">
        <v>980</v>
      </c>
      <c r="AF429" s="32">
        <v>0.54037500000000005</v>
      </c>
      <c r="AG429" s="27">
        <v>71.430000000000007</v>
      </c>
      <c r="AH429" s="27">
        <v>72.55</v>
      </c>
      <c r="AI429" s="26">
        <v>979</v>
      </c>
      <c r="AJ429" s="32">
        <v>0.54100000000000004</v>
      </c>
    </row>
    <row r="430" spans="2:40" x14ac:dyDescent="0.2">
      <c r="B430" s="106"/>
      <c r="C430" s="105"/>
      <c r="D430" s="6" t="s">
        <v>8</v>
      </c>
      <c r="E430" s="7">
        <f t="shared" ref="E430:AJ430" si="79">AVERAGE(E425:E429)</f>
        <v>71.907999999999987</v>
      </c>
      <c r="F430" s="7">
        <f t="shared" si="79"/>
        <v>72.484000000000009</v>
      </c>
      <c r="G430" s="35">
        <f t="shared" si="79"/>
        <v>1037.4000000000001</v>
      </c>
      <c r="H430" s="34">
        <f t="shared" si="79"/>
        <v>0.52180000000000004</v>
      </c>
      <c r="I430" s="7">
        <f t="shared" si="79"/>
        <v>55.015999999999998</v>
      </c>
      <c r="J430" s="7">
        <f t="shared" si="79"/>
        <v>47.002499999999998</v>
      </c>
      <c r="K430" s="35">
        <f t="shared" si="79"/>
        <v>2160.6</v>
      </c>
      <c r="L430" s="34">
        <f t="shared" si="79"/>
        <v>0.40970000000000006</v>
      </c>
      <c r="M430" s="7">
        <f t="shared" si="79"/>
        <v>68.292000000000002</v>
      </c>
      <c r="N430" s="7">
        <f t="shared" si="79"/>
        <v>69.942000000000007</v>
      </c>
      <c r="O430" s="35">
        <f t="shared" si="79"/>
        <v>1011.8</v>
      </c>
      <c r="P430" s="34">
        <f t="shared" si="79"/>
        <v>0.56412499999999999</v>
      </c>
      <c r="Q430" s="7">
        <f t="shared" si="79"/>
        <v>71.833999999999989</v>
      </c>
      <c r="R430" s="7">
        <f t="shared" si="79"/>
        <v>71.966000000000008</v>
      </c>
      <c r="S430" s="35">
        <f t="shared" si="79"/>
        <v>1091.8</v>
      </c>
      <c r="T430" s="34">
        <f t="shared" si="79"/>
        <v>0.50872499999999998</v>
      </c>
      <c r="U430" s="7">
        <f t="shared" si="79"/>
        <v>71.756</v>
      </c>
      <c r="V430" s="7">
        <f t="shared" si="79"/>
        <v>72.704000000000008</v>
      </c>
      <c r="W430" s="35">
        <f t="shared" si="79"/>
        <v>988.2</v>
      </c>
      <c r="X430" s="34">
        <f t="shared" si="79"/>
        <v>0.53539999999999999</v>
      </c>
      <c r="Y430" s="7">
        <f t="shared" si="79"/>
        <v>71.915999999999997</v>
      </c>
      <c r="Z430" s="7">
        <f t="shared" si="79"/>
        <v>72.461999999999989</v>
      </c>
      <c r="AA430" s="35">
        <f t="shared" si="79"/>
        <v>1041.4000000000001</v>
      </c>
      <c r="AB430" s="34">
        <f t="shared" si="79"/>
        <v>0.52049999999999996</v>
      </c>
      <c r="AC430" s="7">
        <f t="shared" si="79"/>
        <v>71.893999999999991</v>
      </c>
      <c r="AD430" s="7">
        <f t="shared" si="79"/>
        <v>72.486000000000004</v>
      </c>
      <c r="AE430" s="35">
        <f t="shared" si="79"/>
        <v>1035.5999999999999</v>
      </c>
      <c r="AF430" s="34">
        <f t="shared" si="79"/>
        <v>0.52215</v>
      </c>
      <c r="AG430" s="7">
        <f t="shared" si="79"/>
        <v>71.89</v>
      </c>
      <c r="AH430" s="7">
        <f t="shared" si="79"/>
        <v>72.465999999999994</v>
      </c>
      <c r="AI430" s="35">
        <f t="shared" si="79"/>
        <v>1038</v>
      </c>
      <c r="AJ430" s="34">
        <f t="shared" si="79"/>
        <v>0.52162500000000001</v>
      </c>
      <c r="AM430" s="1">
        <f>(E430-Q430)*100/E430</f>
        <v>0.10290927295989052</v>
      </c>
      <c r="AN430" s="1">
        <f>(E430-U430)*100/E430</f>
        <v>0.21138120932300555</v>
      </c>
    </row>
    <row r="431" spans="2:40" x14ac:dyDescent="0.2">
      <c r="B431" s="104">
        <v>1.4</v>
      </c>
      <c r="C431" s="105"/>
      <c r="D431" s="28">
        <v>13</v>
      </c>
      <c r="E431" s="25">
        <v>67.86</v>
      </c>
      <c r="F431" s="25">
        <v>72.709999999999994</v>
      </c>
      <c r="G431" s="25">
        <v>575</v>
      </c>
      <c r="H431" s="31">
        <v>0.67700000000000005</v>
      </c>
      <c r="I431" s="25">
        <v>52.42</v>
      </c>
      <c r="J431" s="1">
        <v>67.430000000000007</v>
      </c>
      <c r="K431" s="25">
        <v>60</v>
      </c>
      <c r="L431" s="36">
        <v>0.96074999999999999</v>
      </c>
      <c r="M431" s="25">
        <v>70.97</v>
      </c>
      <c r="N431" s="1">
        <v>73.77</v>
      </c>
      <c r="O431" s="25">
        <v>735</v>
      </c>
      <c r="P431" s="36">
        <v>0.60650000000000004</v>
      </c>
      <c r="Q431" s="25">
        <v>66.180000000000007</v>
      </c>
      <c r="R431" s="1">
        <v>72.180000000000007</v>
      </c>
      <c r="S431" s="25">
        <v>490</v>
      </c>
      <c r="T431" s="36">
        <v>0.71575</v>
      </c>
      <c r="U431" s="25">
        <v>68.31</v>
      </c>
      <c r="V431" s="1">
        <v>72.819999999999993</v>
      </c>
      <c r="W431" s="25">
        <v>604</v>
      </c>
      <c r="X431" s="36">
        <v>0.66587499999999999</v>
      </c>
      <c r="Y431" s="25">
        <v>67.5</v>
      </c>
      <c r="Z431" s="1">
        <v>72.59</v>
      </c>
      <c r="AA431" s="25">
        <v>557</v>
      </c>
      <c r="AB431" s="36">
        <v>0.68574999999999997</v>
      </c>
      <c r="AC431" s="25">
        <v>67.819999999999993</v>
      </c>
      <c r="AD431" s="1">
        <v>72.69</v>
      </c>
      <c r="AE431" s="25">
        <v>574</v>
      </c>
      <c r="AF431" s="36">
        <v>0.67825000000000002</v>
      </c>
      <c r="AG431" s="25">
        <v>67.86</v>
      </c>
      <c r="AH431" s="1">
        <v>72.709999999999994</v>
      </c>
      <c r="AI431" s="25">
        <v>575</v>
      </c>
      <c r="AJ431" s="36">
        <v>0.67762500000000003</v>
      </c>
    </row>
    <row r="432" spans="2:40" x14ac:dyDescent="0.2">
      <c r="B432" s="105"/>
      <c r="C432" s="105"/>
      <c r="D432" s="29">
        <v>21</v>
      </c>
      <c r="E432" s="4">
        <v>61.19</v>
      </c>
      <c r="F432" s="4">
        <v>70.52</v>
      </c>
      <c r="G432" s="1">
        <v>287</v>
      </c>
      <c r="H432" s="33">
        <v>0.81599999999999995</v>
      </c>
      <c r="I432" s="4">
        <v>68.400000000000006</v>
      </c>
      <c r="J432" s="4">
        <v>58.91</v>
      </c>
      <c r="K432" s="1">
        <v>2188</v>
      </c>
      <c r="L432" s="8">
        <v>0.26900000000000002</v>
      </c>
      <c r="M432" s="4">
        <v>62.79</v>
      </c>
      <c r="N432" s="4">
        <v>71.08</v>
      </c>
      <c r="O432" s="1">
        <v>341</v>
      </c>
      <c r="P432" s="8">
        <v>0.78687499999999999</v>
      </c>
      <c r="Q432" s="4">
        <v>61.11</v>
      </c>
      <c r="R432" s="4">
        <v>70.5</v>
      </c>
      <c r="S432" s="1">
        <v>283</v>
      </c>
      <c r="T432" s="8">
        <v>0.81812499999999999</v>
      </c>
      <c r="U432" s="4">
        <v>60.61</v>
      </c>
      <c r="V432" s="4">
        <v>70.33</v>
      </c>
      <c r="W432" s="1">
        <v>265</v>
      </c>
      <c r="X432" s="8">
        <v>0.82762500000000006</v>
      </c>
      <c r="Y432" s="4">
        <v>61.34</v>
      </c>
      <c r="Z432" s="4">
        <v>70.59</v>
      </c>
      <c r="AA432" s="1">
        <v>288</v>
      </c>
      <c r="AB432" s="8">
        <v>0.81462500000000004</v>
      </c>
      <c r="AC432" s="4">
        <v>61.3</v>
      </c>
      <c r="AD432" s="4">
        <v>70.569999999999993</v>
      </c>
      <c r="AE432" s="1">
        <v>288</v>
      </c>
      <c r="AF432" s="8">
        <v>0.81499999999999995</v>
      </c>
      <c r="AG432" s="4">
        <v>61.2</v>
      </c>
      <c r="AH432" s="4">
        <v>70.52</v>
      </c>
      <c r="AI432" s="1">
        <v>287</v>
      </c>
      <c r="AJ432" s="8">
        <v>0.81625000000000003</v>
      </c>
    </row>
    <row r="433" spans="1:40" x14ac:dyDescent="0.2">
      <c r="B433" s="105"/>
      <c r="C433" s="105"/>
      <c r="D433" s="29">
        <v>47</v>
      </c>
      <c r="E433" s="4">
        <v>63.94</v>
      </c>
      <c r="F433" s="4">
        <v>71.459999999999994</v>
      </c>
      <c r="G433" s="1">
        <v>388</v>
      </c>
      <c r="H433" s="8">
        <v>0.76400000000000001</v>
      </c>
      <c r="I433" s="4">
        <v>51.21</v>
      </c>
      <c r="J433" s="4">
        <v>67.09</v>
      </c>
      <c r="K433" s="1">
        <v>22</v>
      </c>
      <c r="L433" s="8">
        <v>0.982375</v>
      </c>
      <c r="M433" s="4">
        <v>70.94</v>
      </c>
      <c r="N433" s="4">
        <v>73.03</v>
      </c>
      <c r="O433" s="1">
        <v>852</v>
      </c>
      <c r="P433" s="8">
        <v>0.57762500000000006</v>
      </c>
      <c r="Q433" s="4">
        <v>67.2</v>
      </c>
      <c r="R433" s="4">
        <v>72.459999999999994</v>
      </c>
      <c r="S433" s="1">
        <v>548</v>
      </c>
      <c r="T433" s="8">
        <v>0.69099999999999995</v>
      </c>
      <c r="U433" s="4">
        <v>63.98</v>
      </c>
      <c r="V433" s="4">
        <v>71.48</v>
      </c>
      <c r="W433" s="1">
        <v>389</v>
      </c>
      <c r="X433" s="8">
        <v>0.76300000000000001</v>
      </c>
      <c r="Y433" s="4">
        <v>63.7</v>
      </c>
      <c r="Z433" s="4">
        <v>71.37</v>
      </c>
      <c r="AA433" s="1">
        <v>381</v>
      </c>
      <c r="AB433" s="8">
        <v>0.76775000000000004</v>
      </c>
      <c r="AC433" s="4">
        <v>63.96</v>
      </c>
      <c r="AD433" s="4">
        <v>71.48</v>
      </c>
      <c r="AE433" s="1">
        <v>388</v>
      </c>
      <c r="AF433" s="8">
        <v>0.76337500000000003</v>
      </c>
      <c r="AG433" s="4">
        <v>63.94</v>
      </c>
      <c r="AH433" s="4">
        <v>71.459999999999994</v>
      </c>
      <c r="AI433" s="1">
        <v>388</v>
      </c>
      <c r="AJ433" s="8">
        <v>0.763625</v>
      </c>
    </row>
    <row r="434" spans="1:40" x14ac:dyDescent="0.2">
      <c r="B434" s="105"/>
      <c r="C434" s="105"/>
      <c r="D434" s="29">
        <v>50</v>
      </c>
      <c r="E434" s="4">
        <v>68.2</v>
      </c>
      <c r="F434" s="4">
        <v>73</v>
      </c>
      <c r="G434" s="1">
        <v>561</v>
      </c>
      <c r="H434" s="8">
        <v>0.67800000000000005</v>
      </c>
      <c r="I434" s="4">
        <v>50.86</v>
      </c>
      <c r="J434" s="4">
        <v>66.95</v>
      </c>
      <c r="K434" s="1">
        <v>19</v>
      </c>
      <c r="L434" s="8">
        <v>0.98662499999999997</v>
      </c>
      <c r="M434" s="4">
        <v>61.29</v>
      </c>
      <c r="N434" s="4">
        <v>70.69</v>
      </c>
      <c r="O434" s="1">
        <v>266</v>
      </c>
      <c r="P434" s="8">
        <v>0.82062500000000005</v>
      </c>
      <c r="Q434" s="4">
        <v>70.31</v>
      </c>
      <c r="R434" s="4">
        <v>73.790000000000006</v>
      </c>
      <c r="S434" s="1">
        <v>656</v>
      </c>
      <c r="T434" s="8">
        <v>0.63287499999999997</v>
      </c>
      <c r="U434" s="4">
        <v>67.900000000000006</v>
      </c>
      <c r="V434" s="4">
        <v>72.91</v>
      </c>
      <c r="W434" s="1">
        <v>545</v>
      </c>
      <c r="X434" s="8">
        <v>0.68474999999999997</v>
      </c>
      <c r="Y434" s="4">
        <v>68.099999999999994</v>
      </c>
      <c r="Z434" s="4">
        <v>72.959999999999994</v>
      </c>
      <c r="AA434" s="1">
        <v>557</v>
      </c>
      <c r="AB434" s="8">
        <v>0.67974999999999997</v>
      </c>
      <c r="AC434" s="4">
        <v>68.14</v>
      </c>
      <c r="AD434" s="4">
        <v>72.97</v>
      </c>
      <c r="AE434" s="1">
        <v>559</v>
      </c>
      <c r="AF434" s="8">
        <v>0.67887500000000001</v>
      </c>
      <c r="AG434" s="4">
        <v>68.2</v>
      </c>
      <c r="AH434" s="4">
        <v>73</v>
      </c>
      <c r="AI434" s="1">
        <v>561</v>
      </c>
      <c r="AJ434" s="8">
        <v>0.67774999999999996</v>
      </c>
    </row>
    <row r="435" spans="1:40" x14ac:dyDescent="0.2">
      <c r="B435" s="105"/>
      <c r="C435" s="105"/>
      <c r="D435" s="30">
        <v>91</v>
      </c>
      <c r="E435" s="27">
        <v>62.84</v>
      </c>
      <c r="F435" s="27">
        <v>71.11</v>
      </c>
      <c r="G435" s="26">
        <v>341</v>
      </c>
      <c r="H435" s="32">
        <v>0.78600000000000003</v>
      </c>
      <c r="I435" s="27">
        <v>54.52</v>
      </c>
      <c r="J435" s="27">
        <v>68.03</v>
      </c>
      <c r="K435" s="26">
        <v>130</v>
      </c>
      <c r="L435" s="32">
        <v>0.92225000000000001</v>
      </c>
      <c r="M435" s="27">
        <v>56.28</v>
      </c>
      <c r="N435" s="27">
        <v>68.819999999999993</v>
      </c>
      <c r="O435" s="26">
        <v>140</v>
      </c>
      <c r="P435" s="32">
        <v>0.90225</v>
      </c>
      <c r="Q435" s="27">
        <v>60.16</v>
      </c>
      <c r="R435" s="27">
        <v>70.25</v>
      </c>
      <c r="S435" s="26">
        <v>237</v>
      </c>
      <c r="T435" s="32">
        <v>0.83912500000000001</v>
      </c>
      <c r="U435" s="27">
        <v>61.78</v>
      </c>
      <c r="V435" s="27">
        <v>70.78</v>
      </c>
      <c r="W435" s="26">
        <v>297</v>
      </c>
      <c r="X435" s="32">
        <v>0.80800000000000005</v>
      </c>
      <c r="Y435" s="27">
        <v>62.95</v>
      </c>
      <c r="Z435" s="27">
        <v>71.14</v>
      </c>
      <c r="AA435" s="26">
        <v>346</v>
      </c>
      <c r="AB435" s="32">
        <v>0.78400000000000003</v>
      </c>
      <c r="AC435" s="27">
        <v>62.84</v>
      </c>
      <c r="AD435" s="27">
        <v>71.099999999999994</v>
      </c>
      <c r="AE435" s="26">
        <v>343</v>
      </c>
      <c r="AF435" s="32">
        <v>0.78587499999999999</v>
      </c>
      <c r="AG435" s="27">
        <v>62.82</v>
      </c>
      <c r="AH435" s="27">
        <v>71.099999999999994</v>
      </c>
      <c r="AI435" s="26">
        <v>342</v>
      </c>
      <c r="AJ435" s="32">
        <v>0.78625</v>
      </c>
    </row>
    <row r="436" spans="1:40" x14ac:dyDescent="0.2">
      <c r="B436" s="106"/>
      <c r="C436" s="106"/>
      <c r="D436" s="6" t="s">
        <v>8</v>
      </c>
      <c r="E436" s="7">
        <f t="shared" ref="E436:AJ436" si="80">AVERAGE(E431:E435)</f>
        <v>64.805999999999997</v>
      </c>
      <c r="F436" s="7">
        <f t="shared" si="80"/>
        <v>71.760000000000005</v>
      </c>
      <c r="G436" s="35">
        <f t="shared" si="80"/>
        <v>430.4</v>
      </c>
      <c r="H436" s="34">
        <f t="shared" si="80"/>
        <v>0.74419999999999997</v>
      </c>
      <c r="I436" s="7">
        <f t="shared" si="80"/>
        <v>55.481999999999992</v>
      </c>
      <c r="J436" s="7">
        <f t="shared" si="80"/>
        <v>65.681999999999988</v>
      </c>
      <c r="K436" s="35">
        <f t="shared" si="80"/>
        <v>483.8</v>
      </c>
      <c r="L436" s="34">
        <f t="shared" si="80"/>
        <v>0.82420000000000004</v>
      </c>
      <c r="M436" s="7">
        <f t="shared" si="80"/>
        <v>64.453999999999994</v>
      </c>
      <c r="N436" s="7">
        <f t="shared" si="80"/>
        <v>71.477999999999994</v>
      </c>
      <c r="O436" s="35">
        <f t="shared" si="80"/>
        <v>466.8</v>
      </c>
      <c r="P436" s="34">
        <f t="shared" si="80"/>
        <v>0.73877500000000007</v>
      </c>
      <c r="Q436" s="7">
        <f t="shared" si="80"/>
        <v>64.992000000000004</v>
      </c>
      <c r="R436" s="7">
        <f t="shared" si="80"/>
        <v>71.835999999999999</v>
      </c>
      <c r="S436" s="35">
        <f t="shared" si="80"/>
        <v>442.8</v>
      </c>
      <c r="T436" s="34">
        <f t="shared" si="80"/>
        <v>0.739375</v>
      </c>
      <c r="U436" s="7">
        <f t="shared" si="80"/>
        <v>64.516000000000005</v>
      </c>
      <c r="V436" s="7">
        <f t="shared" si="80"/>
        <v>71.663999999999987</v>
      </c>
      <c r="W436" s="35">
        <f t="shared" si="80"/>
        <v>420</v>
      </c>
      <c r="X436" s="34">
        <f t="shared" si="80"/>
        <v>0.74985000000000002</v>
      </c>
      <c r="Y436" s="7">
        <f t="shared" si="80"/>
        <v>64.717999999999989</v>
      </c>
      <c r="Z436" s="7">
        <f t="shared" si="80"/>
        <v>71.72999999999999</v>
      </c>
      <c r="AA436" s="35">
        <f t="shared" si="80"/>
        <v>425.8</v>
      </c>
      <c r="AB436" s="34">
        <f t="shared" si="80"/>
        <v>0.7463749999999999</v>
      </c>
      <c r="AC436" s="7">
        <f t="shared" si="80"/>
        <v>64.812000000000012</v>
      </c>
      <c r="AD436" s="7">
        <f t="shared" si="80"/>
        <v>71.762000000000015</v>
      </c>
      <c r="AE436" s="35">
        <f t="shared" si="80"/>
        <v>430.4</v>
      </c>
      <c r="AF436" s="34">
        <f t="shared" si="80"/>
        <v>0.74427500000000002</v>
      </c>
      <c r="AG436" s="7">
        <f t="shared" si="80"/>
        <v>64.804000000000002</v>
      </c>
      <c r="AH436" s="7">
        <f t="shared" si="80"/>
        <v>71.757999999999996</v>
      </c>
      <c r="AI436" s="35">
        <f t="shared" si="80"/>
        <v>430.6</v>
      </c>
      <c r="AJ436" s="34">
        <f t="shared" si="80"/>
        <v>0.74430000000000007</v>
      </c>
      <c r="AM436" s="1">
        <f>(E436-Q436)*100/E436</f>
        <v>-0.28701046199427066</v>
      </c>
      <c r="AN436" s="1">
        <f>(E436-U436)*100/E436</f>
        <v>0.44748942999103797</v>
      </c>
    </row>
    <row r="437" spans="1:40" x14ac:dyDescent="0.2">
      <c r="B437" s="18"/>
    </row>
    <row r="438" spans="1:40" x14ac:dyDescent="0.2">
      <c r="B438" s="18"/>
    </row>
    <row r="439" spans="1:40" x14ac:dyDescent="0.2">
      <c r="B439" s="18"/>
    </row>
    <row r="441" spans="1:40" x14ac:dyDescent="0.2">
      <c r="A441" s="24" t="s">
        <v>38</v>
      </c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3" spans="1:40" x14ac:dyDescent="0.2">
      <c r="B443" s="1" t="s">
        <v>39</v>
      </c>
    </row>
    <row r="444" spans="1:40" x14ac:dyDescent="0.2">
      <c r="I444" s="125" t="s">
        <v>40</v>
      </c>
      <c r="J444" s="125"/>
      <c r="K444" s="125"/>
      <c r="L444" s="125"/>
      <c r="M444" s="125" t="s">
        <v>41</v>
      </c>
      <c r="N444" s="125"/>
      <c r="O444" s="125"/>
      <c r="P444" s="125"/>
    </row>
    <row r="445" spans="1:40" x14ac:dyDescent="0.2">
      <c r="B445" s="100" t="s">
        <v>23</v>
      </c>
      <c r="C445" s="107" t="s">
        <v>0</v>
      </c>
      <c r="D445" s="108"/>
      <c r="E445" s="108"/>
      <c r="F445" s="108"/>
      <c r="G445" s="108"/>
      <c r="H445" s="108"/>
      <c r="I445" s="107" t="s">
        <v>39</v>
      </c>
      <c r="J445" s="111"/>
      <c r="K445" s="107" t="s">
        <v>42</v>
      </c>
      <c r="L445" s="111"/>
      <c r="M445" s="107" t="s">
        <v>39</v>
      </c>
      <c r="N445" s="111"/>
      <c r="O445" s="107" t="s">
        <v>42</v>
      </c>
      <c r="P445" s="111"/>
    </row>
    <row r="446" spans="1:40" x14ac:dyDescent="0.2">
      <c r="B446" s="101"/>
      <c r="C446" s="19" t="s">
        <v>3</v>
      </c>
      <c r="D446" s="1" t="s">
        <v>4</v>
      </c>
      <c r="E446" s="1" t="s">
        <v>6</v>
      </c>
      <c r="F446" s="2" t="s">
        <v>7</v>
      </c>
      <c r="G446" s="1" t="s">
        <v>24</v>
      </c>
      <c r="H446" s="8" t="s">
        <v>25</v>
      </c>
      <c r="I446" s="8" t="s">
        <v>43</v>
      </c>
      <c r="J446" s="8" t="s">
        <v>44</v>
      </c>
      <c r="K446" s="8" t="s">
        <v>43</v>
      </c>
      <c r="L446" s="8" t="s">
        <v>44</v>
      </c>
      <c r="M446" s="8" t="s">
        <v>43</v>
      </c>
      <c r="N446" s="8" t="s">
        <v>44</v>
      </c>
      <c r="O446" s="8" t="s">
        <v>43</v>
      </c>
      <c r="P446" s="8" t="s">
        <v>44</v>
      </c>
    </row>
    <row r="447" spans="1:40" x14ac:dyDescent="0.2">
      <c r="B447" s="102">
        <v>1</v>
      </c>
      <c r="C447" s="104">
        <v>8</v>
      </c>
      <c r="D447" s="28">
        <v>13</v>
      </c>
      <c r="E447" s="25">
        <v>72.11</v>
      </c>
      <c r="F447" s="1">
        <v>71.430000000000007</v>
      </c>
      <c r="G447" s="25">
        <v>1375</v>
      </c>
      <c r="H447" s="36">
        <v>0.49</v>
      </c>
      <c r="I447" s="36">
        <v>0.36</v>
      </c>
      <c r="J447" s="36">
        <v>0.46200000000000002</v>
      </c>
      <c r="K447" s="36">
        <v>0.30099999999999999</v>
      </c>
      <c r="L447" s="36">
        <v>0.36799999999999999</v>
      </c>
      <c r="M447" s="36">
        <v>0.103221565</v>
      </c>
      <c r="N447" s="36">
        <v>0.24720578600000001</v>
      </c>
      <c r="O447" s="36">
        <v>8.3000000000000004E-2</v>
      </c>
      <c r="P447" s="36">
        <v>0.20399999999999999</v>
      </c>
    </row>
    <row r="448" spans="1:40" x14ac:dyDescent="0.2">
      <c r="B448" s="103"/>
      <c r="C448" s="105"/>
      <c r="D448" s="29">
        <v>21</v>
      </c>
      <c r="E448" s="4">
        <v>69.900000000000006</v>
      </c>
      <c r="F448" s="4">
        <v>71.55</v>
      </c>
      <c r="G448" s="1">
        <v>1076</v>
      </c>
      <c r="H448" s="8">
        <v>0.57199999999999995</v>
      </c>
      <c r="I448" s="8">
        <v>0.68899999999999995</v>
      </c>
      <c r="J448" s="8">
        <v>0.68100000000000005</v>
      </c>
      <c r="K448" s="8">
        <v>0.74</v>
      </c>
      <c r="L448" s="8">
        <v>0.63100000000000001</v>
      </c>
      <c r="M448" s="33">
        <v>0.11965812000000001</v>
      </c>
      <c r="N448" s="33">
        <v>0.27218934900000002</v>
      </c>
      <c r="O448" s="8">
        <v>0.1</v>
      </c>
      <c r="P448" s="8">
        <v>0.224</v>
      </c>
    </row>
    <row r="449" spans="2:16" x14ac:dyDescent="0.2">
      <c r="B449" s="103"/>
      <c r="C449" s="105"/>
      <c r="D449" s="29">
        <v>47</v>
      </c>
      <c r="E449" s="4">
        <v>72.14</v>
      </c>
      <c r="F449" s="4">
        <v>70.69</v>
      </c>
      <c r="G449" s="1">
        <v>1501</v>
      </c>
      <c r="H449" s="8">
        <v>0.46500000000000002</v>
      </c>
      <c r="I449" s="8">
        <v>0.379</v>
      </c>
      <c r="J449" s="8">
        <v>0.31</v>
      </c>
      <c r="K449" s="8">
        <v>0.36299999999999999</v>
      </c>
      <c r="L449" s="8">
        <v>0.44800000000000001</v>
      </c>
      <c r="M449" s="33">
        <v>7.1663378999999999E-2</v>
      </c>
      <c r="N449" s="33">
        <v>6.3773833000000002E-2</v>
      </c>
      <c r="O449" s="8">
        <v>9.4E-2</v>
      </c>
      <c r="P449" s="8">
        <v>6.3E-2</v>
      </c>
    </row>
    <row r="450" spans="2:16" x14ac:dyDescent="0.2">
      <c r="B450" s="103"/>
      <c r="C450" s="105"/>
      <c r="D450" s="29">
        <v>50</v>
      </c>
      <c r="E450" s="4">
        <v>72.180000000000007</v>
      </c>
      <c r="F450" s="4">
        <v>71.44</v>
      </c>
      <c r="G450" s="1">
        <v>1381</v>
      </c>
      <c r="H450" s="8">
        <v>0.48799999999999999</v>
      </c>
      <c r="I450" s="8">
        <v>0.29499999999999998</v>
      </c>
      <c r="J450" s="8">
        <v>0.39800000000000002</v>
      </c>
      <c r="K450" s="8">
        <v>0.36</v>
      </c>
      <c r="L450" s="8">
        <v>0.378</v>
      </c>
      <c r="M450" s="33">
        <v>9.5332018000000004E-2</v>
      </c>
      <c r="N450" s="33">
        <v>0.14595660699999999</v>
      </c>
      <c r="O450" s="8">
        <v>8.6999999999999994E-2</v>
      </c>
      <c r="P450" s="8">
        <v>0.123</v>
      </c>
    </row>
    <row r="451" spans="2:16" x14ac:dyDescent="0.2">
      <c r="B451" s="103"/>
      <c r="C451" s="105"/>
      <c r="D451" s="30">
        <v>91</v>
      </c>
      <c r="E451" s="27">
        <v>72.05</v>
      </c>
      <c r="F451" s="27">
        <v>70.89</v>
      </c>
      <c r="G451" s="26">
        <v>1458</v>
      </c>
      <c r="H451" s="32">
        <v>0.47399999999999998</v>
      </c>
      <c r="I451" s="32">
        <v>0.39500000000000002</v>
      </c>
      <c r="J451" s="32">
        <v>0.48799999999999999</v>
      </c>
      <c r="K451" s="32">
        <v>0.59599999999999997</v>
      </c>
      <c r="L451" s="32">
        <v>0.69599999999999995</v>
      </c>
      <c r="M451" s="52">
        <v>9.270217E-2</v>
      </c>
      <c r="N451" s="52">
        <v>0.149901381</v>
      </c>
      <c r="O451" s="32">
        <v>0.13900000000000001</v>
      </c>
      <c r="P451" s="32">
        <v>0.183</v>
      </c>
    </row>
    <row r="452" spans="2:16" x14ac:dyDescent="0.2">
      <c r="B452" s="101"/>
      <c r="C452" s="105"/>
      <c r="D452" s="6" t="s">
        <v>8</v>
      </c>
      <c r="E452" s="7">
        <f>AVERAGE(E447:E451)</f>
        <v>71.676000000000002</v>
      </c>
      <c r="F452" s="7">
        <f>AVERAGE(F447:F451)</f>
        <v>71.2</v>
      </c>
      <c r="G452" s="35">
        <f>AVERAGE(G447:G451)</f>
        <v>1358.2</v>
      </c>
      <c r="H452" s="34">
        <f>AVERAGE(H447:H451)</f>
        <v>0.49779999999999996</v>
      </c>
      <c r="I452" s="34">
        <f t="shared" ref="I452:J452" si="81">AVERAGE(I447:I451)</f>
        <v>0.42359999999999998</v>
      </c>
      <c r="J452" s="34">
        <f t="shared" si="81"/>
        <v>0.46779999999999999</v>
      </c>
      <c r="K452" s="34">
        <f t="shared" ref="K452:N452" si="82">AVERAGE(K447:K451)</f>
        <v>0.47199999999999998</v>
      </c>
      <c r="L452" s="34">
        <f t="shared" si="82"/>
        <v>0.50419999999999998</v>
      </c>
      <c r="M452" s="34">
        <f t="shared" si="82"/>
        <v>9.6515450400000008E-2</v>
      </c>
      <c r="N452" s="34">
        <f t="shared" si="82"/>
        <v>0.17580539120000002</v>
      </c>
      <c r="O452" s="34">
        <f t="shared" ref="O452:P452" si="83">AVERAGE(O447:O451)</f>
        <v>0.10059999999999999</v>
      </c>
      <c r="P452" s="34">
        <f t="shared" si="83"/>
        <v>0.15939999999999999</v>
      </c>
    </row>
    <row r="453" spans="2:16" x14ac:dyDescent="0.2">
      <c r="B453" s="104">
        <v>1.2</v>
      </c>
      <c r="C453" s="105"/>
      <c r="D453" s="28">
        <v>13</v>
      </c>
      <c r="E453" s="25">
        <v>71.84</v>
      </c>
      <c r="F453" s="25">
        <v>71.459999999999994</v>
      </c>
      <c r="G453" s="25">
        <v>1335</v>
      </c>
      <c r="H453" s="31">
        <v>0.501</v>
      </c>
      <c r="I453" s="36">
        <v>0.27200000000000002</v>
      </c>
      <c r="J453" s="36">
        <v>0.36499999999999999</v>
      </c>
      <c r="K453" s="36">
        <v>0.24299999999999999</v>
      </c>
      <c r="L453" s="36">
        <v>0.36499999999999999</v>
      </c>
      <c r="M453" s="36">
        <v>6.5088756999999997E-2</v>
      </c>
      <c r="N453" s="36">
        <v>0.1</v>
      </c>
      <c r="O453" s="36">
        <v>4.7E-2</v>
      </c>
      <c r="P453" s="36">
        <v>8.6999999999999994E-2</v>
      </c>
    </row>
    <row r="454" spans="2:16" x14ac:dyDescent="0.2">
      <c r="B454" s="105"/>
      <c r="C454" s="105"/>
      <c r="D454" s="29">
        <v>21</v>
      </c>
      <c r="E454" s="4">
        <v>70.22</v>
      </c>
      <c r="F454" s="4">
        <v>71.25</v>
      </c>
      <c r="G454" s="1">
        <v>1170</v>
      </c>
      <c r="H454" s="33">
        <v>0.55000000000000004</v>
      </c>
      <c r="I454" s="8">
        <v>0.66500000000000004</v>
      </c>
      <c r="J454" s="8">
        <v>0.66400000000000003</v>
      </c>
      <c r="K454" s="8">
        <v>0.83499999999999996</v>
      </c>
      <c r="L454" s="8">
        <v>0.91100000000000003</v>
      </c>
      <c r="M454" s="33">
        <v>0.12360289300000001</v>
      </c>
      <c r="N454" s="33">
        <v>0.27087442499999997</v>
      </c>
      <c r="O454" s="8">
        <v>0.13600000000000001</v>
      </c>
      <c r="P454" s="8">
        <v>0.28899999999999998</v>
      </c>
    </row>
    <row r="455" spans="2:16" x14ac:dyDescent="0.2">
      <c r="B455" s="105"/>
      <c r="C455" s="105"/>
      <c r="D455" s="29">
        <v>47</v>
      </c>
      <c r="E455" s="4">
        <v>71.67</v>
      </c>
      <c r="F455" s="4">
        <v>72.34</v>
      </c>
      <c r="G455" s="1">
        <v>1156</v>
      </c>
      <c r="H455" s="8">
        <v>0.53800000000000003</v>
      </c>
      <c r="I455" s="8">
        <v>0.45900000000000002</v>
      </c>
      <c r="J455" s="8">
        <v>0.499</v>
      </c>
      <c r="K455" s="8">
        <v>0.504</v>
      </c>
      <c r="L455" s="8">
        <v>0.54200000000000004</v>
      </c>
      <c r="M455" s="33">
        <v>0.113083498</v>
      </c>
      <c r="N455" s="33">
        <v>0.24852071000000001</v>
      </c>
      <c r="O455" s="8">
        <v>0.127</v>
      </c>
      <c r="P455" s="8">
        <v>0.21299999999999999</v>
      </c>
    </row>
    <row r="456" spans="2:16" x14ac:dyDescent="0.2">
      <c r="B456" s="105"/>
      <c r="C456" s="105"/>
      <c r="D456" s="29">
        <v>50</v>
      </c>
      <c r="E456" s="4">
        <v>70.52</v>
      </c>
      <c r="F456" s="4">
        <v>73.09</v>
      </c>
      <c r="G456" s="1">
        <v>858</v>
      </c>
      <c r="H456" s="8">
        <v>0.60899999999999999</v>
      </c>
      <c r="I456" s="8">
        <v>0.38300000000000001</v>
      </c>
      <c r="J456" s="8">
        <v>0.39100000000000001</v>
      </c>
      <c r="K456" s="8">
        <v>0.26200000000000001</v>
      </c>
      <c r="L456" s="8">
        <v>0.41</v>
      </c>
      <c r="M456" s="33">
        <v>6.3773833000000002E-2</v>
      </c>
      <c r="N456" s="33">
        <v>6.7061144000000003E-2</v>
      </c>
      <c r="O456" s="8">
        <v>5.8000000000000003E-2</v>
      </c>
      <c r="P456" s="8">
        <v>5.2999999999999999E-2</v>
      </c>
    </row>
    <row r="457" spans="2:16" x14ac:dyDescent="0.2">
      <c r="B457" s="105"/>
      <c r="C457" s="105"/>
      <c r="D457" s="30">
        <v>91</v>
      </c>
      <c r="E457" s="27">
        <v>71.77</v>
      </c>
      <c r="F457" s="27">
        <v>72.12</v>
      </c>
      <c r="G457" s="26">
        <v>1209</v>
      </c>
      <c r="H457" s="32">
        <v>0.52700000000000002</v>
      </c>
      <c r="I457" s="32">
        <v>0.29499999999999998</v>
      </c>
      <c r="J457" s="32">
        <v>0.42299999999999999</v>
      </c>
      <c r="K457" s="32">
        <v>0.33900000000000002</v>
      </c>
      <c r="L457" s="32">
        <v>0.35199999999999998</v>
      </c>
      <c r="M457" s="52">
        <v>7.5608152999999997E-2</v>
      </c>
      <c r="N457" s="52">
        <v>0.21827744900000001</v>
      </c>
      <c r="O457" s="32">
        <v>8.2000000000000003E-2</v>
      </c>
      <c r="P457" s="32">
        <v>0.20599999999999999</v>
      </c>
    </row>
    <row r="458" spans="2:16" x14ac:dyDescent="0.2">
      <c r="B458" s="106"/>
      <c r="C458" s="105"/>
      <c r="D458" s="6" t="s">
        <v>8</v>
      </c>
      <c r="E458" s="7">
        <f>AVERAGE(E453:E457)</f>
        <v>71.203999999999994</v>
      </c>
      <c r="F458" s="7">
        <f>AVERAGE(F453:F457)</f>
        <v>72.051999999999992</v>
      </c>
      <c r="G458" s="35">
        <f>AVERAGE(G453:G457)</f>
        <v>1145.5999999999999</v>
      </c>
      <c r="H458" s="34">
        <f>AVERAGE(H453:H457)</f>
        <v>0.54500000000000015</v>
      </c>
      <c r="I458" s="34">
        <f t="shared" ref="I458:K458" si="84">AVERAGE(I453:I457)</f>
        <v>0.41480000000000006</v>
      </c>
      <c r="J458" s="34">
        <f t="shared" ref="J458:M458" si="85">AVERAGE(J453:J457)</f>
        <v>0.46840000000000004</v>
      </c>
      <c r="K458" s="34">
        <f t="shared" si="84"/>
        <v>0.43659999999999999</v>
      </c>
      <c r="L458" s="34">
        <f t="shared" si="85"/>
        <v>0.51600000000000001</v>
      </c>
      <c r="M458" s="34">
        <f t="shared" si="85"/>
        <v>8.8231426799999998E-2</v>
      </c>
      <c r="N458" s="34">
        <f t="shared" ref="N458:P458" si="86">AVERAGE(N453:N457)</f>
        <v>0.18094674559999999</v>
      </c>
      <c r="O458" s="34">
        <f t="shared" si="86"/>
        <v>0.09</v>
      </c>
      <c r="P458" s="34">
        <f t="shared" si="86"/>
        <v>0.1696</v>
      </c>
    </row>
    <row r="459" spans="2:16" x14ac:dyDescent="0.2">
      <c r="B459" s="104">
        <v>1.4</v>
      </c>
      <c r="C459" s="105"/>
      <c r="D459" s="28">
        <v>13</v>
      </c>
      <c r="E459" s="25">
        <v>68.52</v>
      </c>
      <c r="F459" s="25">
        <v>74.02</v>
      </c>
      <c r="G459" s="25">
        <v>377</v>
      </c>
      <c r="H459" s="31">
        <v>0.72599999999999998</v>
      </c>
      <c r="I459" s="36">
        <v>0.73599999999999999</v>
      </c>
      <c r="J459" s="36">
        <v>0.40300000000000002</v>
      </c>
      <c r="K459" s="36">
        <v>0.86499999999999999</v>
      </c>
      <c r="L459" s="36">
        <v>0.34200000000000003</v>
      </c>
      <c r="M459" s="36">
        <v>6.9690993000000007E-2</v>
      </c>
      <c r="N459" s="36">
        <v>0.214</v>
      </c>
      <c r="O459" s="36">
        <v>7.5999999999999998E-2</v>
      </c>
      <c r="P459" s="36">
        <v>0.21</v>
      </c>
    </row>
    <row r="460" spans="2:16" x14ac:dyDescent="0.2">
      <c r="B460" s="105"/>
      <c r="C460" s="105"/>
      <c r="D460" s="29">
        <v>21</v>
      </c>
      <c r="E460" s="4">
        <v>67.680000000000007</v>
      </c>
      <c r="F460" s="4">
        <v>73.19</v>
      </c>
      <c r="G460" s="1">
        <v>449</v>
      </c>
      <c r="H460" s="33">
        <v>0.72</v>
      </c>
      <c r="I460" s="8">
        <v>0.746</v>
      </c>
      <c r="J460" s="8">
        <v>0.57399999999999995</v>
      </c>
      <c r="K460" s="8">
        <v>0.85499999999999998</v>
      </c>
      <c r="L460" s="8">
        <v>0.51200000000000001</v>
      </c>
      <c r="M460" s="33">
        <v>9.8619329000000006E-2</v>
      </c>
      <c r="N460" s="33">
        <v>0.224</v>
      </c>
      <c r="O460" s="8">
        <v>0.08</v>
      </c>
      <c r="P460" s="8">
        <v>0.192</v>
      </c>
    </row>
    <row r="461" spans="2:16" x14ac:dyDescent="0.2">
      <c r="B461" s="105"/>
      <c r="C461" s="105"/>
      <c r="D461" s="29">
        <v>47</v>
      </c>
      <c r="E461" s="4">
        <v>69.569999999999993</v>
      </c>
      <c r="F461" s="4">
        <v>73.849999999999994</v>
      </c>
      <c r="G461" s="1">
        <v>565</v>
      </c>
      <c r="H461" s="8">
        <v>0.67700000000000005</v>
      </c>
      <c r="I461" s="8">
        <v>0.59</v>
      </c>
      <c r="J461" s="8">
        <v>0.54400000000000004</v>
      </c>
      <c r="K461" s="8">
        <v>0.53800000000000003</v>
      </c>
      <c r="L461" s="8">
        <v>0.58799999999999997</v>
      </c>
      <c r="M461" s="33">
        <v>7.2320841999999996E-2</v>
      </c>
      <c r="N461" s="33">
        <v>5.7000000000000002E-2</v>
      </c>
      <c r="O461" s="8">
        <v>5.5E-2</v>
      </c>
      <c r="P461" s="8">
        <v>3.6999999999999998E-2</v>
      </c>
    </row>
    <row r="462" spans="2:16" x14ac:dyDescent="0.2">
      <c r="B462" s="105"/>
      <c r="C462" s="105"/>
      <c r="D462" s="29">
        <v>50</v>
      </c>
      <c r="E462" s="4">
        <v>70.23</v>
      </c>
      <c r="F462" s="4">
        <v>73.38</v>
      </c>
      <c r="G462" s="1">
        <v>758</v>
      </c>
      <c r="H462" s="8">
        <v>0.63200000000000001</v>
      </c>
      <c r="I462" s="8">
        <v>0.52300000000000002</v>
      </c>
      <c r="J462" s="8">
        <v>0.52300000000000002</v>
      </c>
      <c r="K462" s="8">
        <v>0.53200000000000003</v>
      </c>
      <c r="L462" s="8">
        <v>0.72799999999999998</v>
      </c>
      <c r="M462" s="33">
        <v>8.1525312000000003E-2</v>
      </c>
      <c r="N462" s="33">
        <v>0.19400000000000001</v>
      </c>
      <c r="O462" s="8">
        <v>8.1000000000000003E-2</v>
      </c>
      <c r="P462" s="8">
        <v>0.245</v>
      </c>
    </row>
    <row r="463" spans="2:16" x14ac:dyDescent="0.2">
      <c r="B463" s="105"/>
      <c r="C463" s="105"/>
      <c r="D463" s="30">
        <v>91</v>
      </c>
      <c r="E463" s="27">
        <v>69.11</v>
      </c>
      <c r="F463" s="27">
        <v>73.5</v>
      </c>
      <c r="G463" s="26">
        <v>578</v>
      </c>
      <c r="H463" s="32">
        <v>0.67900000000000005</v>
      </c>
      <c r="I463" s="32">
        <v>0.58099999999999996</v>
      </c>
      <c r="J463" s="32">
        <v>0.59099999999999997</v>
      </c>
      <c r="K463" s="32">
        <v>0.45900000000000002</v>
      </c>
      <c r="L463" s="32">
        <v>0.52700000000000002</v>
      </c>
      <c r="M463" s="52">
        <v>7.9552925999999996E-2</v>
      </c>
      <c r="N463" s="52">
        <v>0.21299999999999999</v>
      </c>
      <c r="O463" s="32">
        <v>8.5000000000000006E-2</v>
      </c>
      <c r="P463" s="32">
        <v>0.22700000000000001</v>
      </c>
    </row>
    <row r="464" spans="2:16" x14ac:dyDescent="0.2">
      <c r="B464" s="106"/>
      <c r="C464" s="106"/>
      <c r="D464" s="6" t="s">
        <v>8</v>
      </c>
      <c r="E464" s="7">
        <f>AVERAGE(E459:E463)</f>
        <v>69.022000000000006</v>
      </c>
      <c r="F464" s="7">
        <f>AVERAGE(F459:F463)</f>
        <v>73.587999999999994</v>
      </c>
      <c r="G464" s="35">
        <f>AVERAGE(G459:G463)</f>
        <v>545.4</v>
      </c>
      <c r="H464" s="34">
        <f>AVERAGE(H459:H463)</f>
        <v>0.68680000000000008</v>
      </c>
      <c r="I464" s="34">
        <f t="shared" ref="I464:K464" si="87">AVERAGE(I459:I463)</f>
        <v>0.63519999999999999</v>
      </c>
      <c r="J464" s="34">
        <f t="shared" ref="J464:M464" si="88">AVERAGE(J459:J463)</f>
        <v>0.52699999999999991</v>
      </c>
      <c r="K464" s="34">
        <f t="shared" si="87"/>
        <v>0.64980000000000004</v>
      </c>
      <c r="L464" s="34">
        <f t="shared" si="88"/>
        <v>0.53939999999999999</v>
      </c>
      <c r="M464" s="34">
        <f t="shared" si="88"/>
        <v>8.034188040000001E-2</v>
      </c>
      <c r="N464" s="34">
        <f t="shared" ref="N464:P464" si="89">AVERAGE(N459:N463)</f>
        <v>0.1804</v>
      </c>
      <c r="O464" s="34">
        <f t="shared" si="89"/>
        <v>7.5399999999999995E-2</v>
      </c>
      <c r="P464" s="34">
        <f t="shared" si="89"/>
        <v>0.18219999999999997</v>
      </c>
    </row>
    <row r="465" spans="2:16" x14ac:dyDescent="0.2">
      <c r="B465" s="102">
        <v>1</v>
      </c>
      <c r="C465" s="104">
        <v>16</v>
      </c>
      <c r="D465" s="28">
        <v>13</v>
      </c>
      <c r="E465" s="25">
        <v>75.209999999999994</v>
      </c>
      <c r="F465" s="1">
        <v>76.09</v>
      </c>
      <c r="G465" s="25">
        <v>917</v>
      </c>
      <c r="H465" s="31">
        <v>0.55100000000000005</v>
      </c>
      <c r="I465" s="36">
        <v>0.113</v>
      </c>
      <c r="J465" s="36">
        <v>0.218</v>
      </c>
      <c r="K465" s="36">
        <v>6.9000000000000006E-2</v>
      </c>
      <c r="L465" s="36">
        <v>0.11600000000000001</v>
      </c>
      <c r="M465" s="36">
        <v>6.2E-2</v>
      </c>
      <c r="N465" s="36">
        <v>0.13</v>
      </c>
      <c r="O465" s="36">
        <v>3.5999999999999997E-2</v>
      </c>
      <c r="P465" s="36">
        <v>7.4999999999999997E-2</v>
      </c>
    </row>
    <row r="466" spans="2:16" x14ac:dyDescent="0.2">
      <c r="B466" s="103"/>
      <c r="C466" s="105"/>
      <c r="D466" s="29">
        <v>21</v>
      </c>
      <c r="E466" s="4">
        <v>75.5</v>
      </c>
      <c r="F466" s="4">
        <v>74.930000000000007</v>
      </c>
      <c r="G466" s="1">
        <v>1200</v>
      </c>
      <c r="H466" s="8">
        <v>0.49099999999999999</v>
      </c>
      <c r="I466" s="8">
        <v>7.1999999999999995E-2</v>
      </c>
      <c r="J466" s="8">
        <v>0.249</v>
      </c>
      <c r="K466" s="8">
        <v>5.1999999999999998E-2</v>
      </c>
      <c r="L466" s="8">
        <v>0.184</v>
      </c>
      <c r="M466" s="8">
        <v>3.6999999999999998E-2</v>
      </c>
      <c r="N466" s="8">
        <v>0.158</v>
      </c>
      <c r="O466" s="8">
        <v>2.8000000000000001E-2</v>
      </c>
      <c r="P466" s="8">
        <v>0.13100000000000001</v>
      </c>
    </row>
    <row r="467" spans="2:16" x14ac:dyDescent="0.2">
      <c r="B467" s="103"/>
      <c r="C467" s="105"/>
      <c r="D467" s="29">
        <v>47</v>
      </c>
      <c r="E467" s="4">
        <v>75.94</v>
      </c>
      <c r="F467" s="4">
        <v>75.540000000000006</v>
      </c>
      <c r="G467" s="1">
        <v>1146</v>
      </c>
      <c r="H467" s="8">
        <v>0.498</v>
      </c>
      <c r="I467" s="8">
        <v>0.13100000000000001</v>
      </c>
      <c r="J467" s="8">
        <v>0.189</v>
      </c>
      <c r="K467" s="8">
        <v>0.105</v>
      </c>
      <c r="L467" s="8">
        <v>0.252</v>
      </c>
      <c r="M467" s="8">
        <v>8.2000000000000003E-2</v>
      </c>
      <c r="N467" s="8">
        <v>0.124</v>
      </c>
      <c r="O467" s="8">
        <v>6.9000000000000006E-2</v>
      </c>
      <c r="P467" s="8">
        <v>0.16400000000000001</v>
      </c>
    </row>
    <row r="468" spans="2:16" x14ac:dyDescent="0.2">
      <c r="B468" s="103"/>
      <c r="C468" s="105"/>
      <c r="D468" s="29">
        <v>50</v>
      </c>
      <c r="E468" s="4">
        <v>75.680000000000007</v>
      </c>
      <c r="F468" s="4">
        <v>75.5</v>
      </c>
      <c r="G468" s="1">
        <v>1114</v>
      </c>
      <c r="H468" s="8">
        <v>0.50700000000000001</v>
      </c>
      <c r="I468" s="8">
        <v>6.6000000000000003E-2</v>
      </c>
      <c r="J468" s="8">
        <v>0.19500000000000001</v>
      </c>
      <c r="K468" s="8">
        <v>6.3E-2</v>
      </c>
      <c r="L468" s="8">
        <v>0.20699999999999999</v>
      </c>
      <c r="M468" s="8">
        <v>3.5999999999999997E-2</v>
      </c>
      <c r="N468" s="8">
        <v>0.156</v>
      </c>
      <c r="O468" s="8">
        <v>3.4000000000000002E-2</v>
      </c>
      <c r="P468" s="8">
        <v>0.17499999999999999</v>
      </c>
    </row>
    <row r="469" spans="2:16" x14ac:dyDescent="0.2">
      <c r="B469" s="103"/>
      <c r="C469" s="105"/>
      <c r="D469" s="30">
        <v>91</v>
      </c>
      <c r="E469" s="27">
        <v>75.59</v>
      </c>
      <c r="F469" s="27">
        <v>73.680000000000007</v>
      </c>
      <c r="G469" s="26">
        <v>1445</v>
      </c>
      <c r="H469" s="32">
        <v>0.441</v>
      </c>
      <c r="I469" s="32">
        <v>9.9000000000000005E-2</v>
      </c>
      <c r="J469" s="32">
        <v>0.247</v>
      </c>
      <c r="K469" s="32">
        <v>7.1999999999999995E-2</v>
      </c>
      <c r="L469" s="32">
        <v>0.21</v>
      </c>
      <c r="M469" s="32">
        <v>5.5E-2</v>
      </c>
      <c r="N469" s="32">
        <v>0.191</v>
      </c>
      <c r="O469" s="32">
        <v>4.2999999999999997E-2</v>
      </c>
      <c r="P469" s="32">
        <v>0.158</v>
      </c>
    </row>
    <row r="470" spans="2:16" x14ac:dyDescent="0.2">
      <c r="B470" s="101"/>
      <c r="C470" s="105"/>
      <c r="D470" s="6" t="s">
        <v>8</v>
      </c>
      <c r="E470" s="7">
        <f>AVERAGE(E465:E469)</f>
        <v>75.583999999999989</v>
      </c>
      <c r="F470" s="7">
        <f>AVERAGE(F465:F469)</f>
        <v>75.147999999999996</v>
      </c>
      <c r="G470" s="35">
        <f>AVERAGE(G465:G469)</f>
        <v>1164.4000000000001</v>
      </c>
      <c r="H470" s="34">
        <f>AVERAGE(H465:H469)</f>
        <v>0.49759999999999999</v>
      </c>
      <c r="I470" s="34">
        <f t="shared" ref="I470:K470" si="90">AVERAGE(I465:I469)</f>
        <v>9.6199999999999994E-2</v>
      </c>
      <c r="J470" s="34">
        <f t="shared" ref="J470:M470" si="91">AVERAGE(J465:J469)</f>
        <v>0.21959999999999996</v>
      </c>
      <c r="K470" s="34">
        <f t="shared" si="90"/>
        <v>7.22E-2</v>
      </c>
      <c r="L470" s="34">
        <f t="shared" si="91"/>
        <v>0.1938</v>
      </c>
      <c r="M470" s="34">
        <f t="shared" si="91"/>
        <v>5.4400000000000004E-2</v>
      </c>
      <c r="N470" s="34">
        <f t="shared" ref="N470:P470" si="92">AVERAGE(N465:N469)</f>
        <v>0.15180000000000002</v>
      </c>
      <c r="O470" s="34">
        <f t="shared" si="92"/>
        <v>4.2000000000000003E-2</v>
      </c>
      <c r="P470" s="34">
        <f t="shared" si="92"/>
        <v>0.1406</v>
      </c>
    </row>
    <row r="471" spans="2:16" x14ac:dyDescent="0.2">
      <c r="B471" s="104">
        <v>1.2</v>
      </c>
      <c r="C471" s="105"/>
      <c r="D471" s="28">
        <v>13</v>
      </c>
      <c r="E471" s="25">
        <v>73.930000000000007</v>
      </c>
      <c r="F471" s="25">
        <v>75.63</v>
      </c>
      <c r="G471" s="25">
        <v>815</v>
      </c>
      <c r="H471" s="31">
        <v>0.58399999999999996</v>
      </c>
      <c r="I471" s="36">
        <v>0.13700000000000001</v>
      </c>
      <c r="J471" s="36">
        <v>0.28000000000000003</v>
      </c>
      <c r="K471" s="36">
        <v>0.158</v>
      </c>
      <c r="L471" s="36">
        <v>0.33100000000000002</v>
      </c>
      <c r="M471" s="36">
        <v>6.3E-2</v>
      </c>
      <c r="N471" s="36">
        <v>0.19700000000000001</v>
      </c>
      <c r="O471" s="36">
        <v>7.3999999999999996E-2</v>
      </c>
      <c r="P471" s="36">
        <v>0.20599999999999999</v>
      </c>
    </row>
    <row r="472" spans="2:16" x14ac:dyDescent="0.2">
      <c r="B472" s="105"/>
      <c r="C472" s="105"/>
      <c r="D472" s="29">
        <v>21</v>
      </c>
      <c r="E472" s="4">
        <v>75.34</v>
      </c>
      <c r="F472" s="4">
        <v>75.59</v>
      </c>
      <c r="G472" s="1">
        <v>1043</v>
      </c>
      <c r="H472" s="8">
        <v>0.52400000000000002</v>
      </c>
      <c r="I472" s="8">
        <v>8.6999999999999994E-2</v>
      </c>
      <c r="J472" s="8">
        <v>0.153</v>
      </c>
      <c r="K472" s="8">
        <v>0.14000000000000001</v>
      </c>
      <c r="L472" s="8">
        <v>0.29599999999999999</v>
      </c>
      <c r="M472" s="8">
        <v>4.2000000000000003E-2</v>
      </c>
      <c r="N472" s="8">
        <v>9.9000000000000005E-2</v>
      </c>
      <c r="O472" s="8">
        <v>6.7000000000000004E-2</v>
      </c>
      <c r="P472" s="8">
        <v>0.21099999999999999</v>
      </c>
    </row>
    <row r="473" spans="2:16" x14ac:dyDescent="0.2">
      <c r="B473" s="105"/>
      <c r="C473" s="105"/>
      <c r="D473" s="29">
        <v>47</v>
      </c>
      <c r="E473" s="4">
        <v>75.47</v>
      </c>
      <c r="F473" s="4">
        <v>76.430000000000007</v>
      </c>
      <c r="G473" s="1">
        <v>883</v>
      </c>
      <c r="H473" s="8">
        <v>0.55500000000000005</v>
      </c>
      <c r="I473" s="8">
        <v>0.108</v>
      </c>
      <c r="J473" s="8">
        <v>7.8E-2</v>
      </c>
      <c r="K473" s="8">
        <v>6.0999999999999999E-2</v>
      </c>
      <c r="L473" s="8">
        <v>7.8E-2</v>
      </c>
      <c r="M473" s="8">
        <v>4.4999999999999998E-2</v>
      </c>
      <c r="N473" s="8">
        <v>4.2999999999999997E-2</v>
      </c>
      <c r="O473" s="8">
        <v>3.2000000000000001E-2</v>
      </c>
      <c r="P473" s="8">
        <v>0.03</v>
      </c>
    </row>
    <row r="474" spans="2:16" x14ac:dyDescent="0.2">
      <c r="B474" s="105"/>
      <c r="C474" s="105"/>
      <c r="D474" s="29">
        <v>50</v>
      </c>
      <c r="E474" s="4">
        <v>75.31</v>
      </c>
      <c r="F474" s="4">
        <v>74.989999999999995</v>
      </c>
      <c r="G474" s="1">
        <v>1160</v>
      </c>
      <c r="H474" s="8">
        <v>0.501</v>
      </c>
      <c r="I474" s="8">
        <v>0.10299999999999999</v>
      </c>
      <c r="J474" s="8">
        <v>0.253</v>
      </c>
      <c r="K474" s="8">
        <v>8.5999999999999993E-2</v>
      </c>
      <c r="L474" s="8">
        <v>0.19500000000000001</v>
      </c>
      <c r="M474" s="8">
        <v>3.7999999999999999E-2</v>
      </c>
      <c r="N474" s="8">
        <v>0.19900000000000001</v>
      </c>
      <c r="O474" s="8">
        <v>4.7E-2</v>
      </c>
      <c r="P474" s="8">
        <v>0.16</v>
      </c>
    </row>
    <row r="475" spans="2:16" x14ac:dyDescent="0.2">
      <c r="B475" s="105"/>
      <c r="C475" s="105"/>
      <c r="D475" s="30">
        <v>91</v>
      </c>
      <c r="E475" s="27">
        <v>75.97</v>
      </c>
      <c r="F475" s="27">
        <v>76.010000000000005</v>
      </c>
      <c r="G475" s="26">
        <v>1055</v>
      </c>
      <c r="H475" s="32">
        <v>0.51500000000000001</v>
      </c>
      <c r="I475" s="32">
        <v>7.2999999999999995E-2</v>
      </c>
      <c r="J475" s="32">
        <v>8.6999999999999994E-2</v>
      </c>
      <c r="K475" s="32">
        <v>8.1000000000000003E-2</v>
      </c>
      <c r="L475" s="32">
        <v>0.11</v>
      </c>
      <c r="M475" s="32">
        <v>4.1000000000000002E-2</v>
      </c>
      <c r="N475" s="32">
        <v>5.1999999999999998E-2</v>
      </c>
      <c r="O475" s="32">
        <v>5.0999999999999997E-2</v>
      </c>
      <c r="P475" s="32">
        <v>7.0000000000000007E-2</v>
      </c>
    </row>
    <row r="476" spans="2:16" x14ac:dyDescent="0.2">
      <c r="B476" s="106"/>
      <c r="C476" s="105"/>
      <c r="D476" s="6" t="s">
        <v>8</v>
      </c>
      <c r="E476" s="7">
        <f>AVERAGE(E471:E475)</f>
        <v>75.203999999999994</v>
      </c>
      <c r="F476" s="7">
        <f>AVERAGE(F471:F475)</f>
        <v>75.72999999999999</v>
      </c>
      <c r="G476" s="35">
        <f>AVERAGE(G471:G475)</f>
        <v>991.2</v>
      </c>
      <c r="H476" s="34">
        <f>AVERAGE(H471:H475)</f>
        <v>0.53580000000000005</v>
      </c>
      <c r="I476" s="34">
        <f t="shared" ref="I476:K476" si="93">AVERAGE(I471:I475)</f>
        <v>0.1016</v>
      </c>
      <c r="J476" s="34">
        <f t="shared" ref="J476:M476" si="94">AVERAGE(J471:J475)</f>
        <v>0.17019999999999999</v>
      </c>
      <c r="K476" s="34">
        <f t="shared" si="93"/>
        <v>0.1052</v>
      </c>
      <c r="L476" s="34">
        <f t="shared" si="94"/>
        <v>0.20200000000000001</v>
      </c>
      <c r="M476" s="34">
        <f t="shared" si="94"/>
        <v>4.5800000000000007E-2</v>
      </c>
      <c r="N476" s="34">
        <f t="shared" ref="N476:P476" si="95">AVERAGE(N471:N475)</f>
        <v>0.11800000000000002</v>
      </c>
      <c r="O476" s="34">
        <f t="shared" si="95"/>
        <v>5.4200000000000005E-2</v>
      </c>
      <c r="P476" s="34">
        <f t="shared" si="95"/>
        <v>0.13540000000000002</v>
      </c>
    </row>
    <row r="477" spans="2:16" x14ac:dyDescent="0.2">
      <c r="B477" s="104">
        <v>1.4</v>
      </c>
      <c r="C477" s="105"/>
      <c r="D477" s="28">
        <v>13</v>
      </c>
      <c r="E477" s="25">
        <v>69.849999999999994</v>
      </c>
      <c r="F477" s="25">
        <v>75.010000000000005</v>
      </c>
      <c r="G477" s="25">
        <v>335</v>
      </c>
      <c r="H477" s="31">
        <v>0.72099999999999997</v>
      </c>
      <c r="I477" s="36">
        <v>0.23599999999999999</v>
      </c>
      <c r="J477" s="36">
        <v>0.434</v>
      </c>
      <c r="K477" s="36">
        <v>0.29699999999999999</v>
      </c>
      <c r="L477" s="36">
        <v>0.34799999999999998</v>
      </c>
      <c r="M477" s="36">
        <v>7.3999999999999996E-2</v>
      </c>
      <c r="N477" s="36">
        <v>0.23100000000000001</v>
      </c>
      <c r="O477" s="36">
        <v>6.7000000000000004E-2</v>
      </c>
      <c r="P477" s="36">
        <v>0.17399999999999999</v>
      </c>
    </row>
    <row r="478" spans="2:16" x14ac:dyDescent="0.2">
      <c r="B478" s="105"/>
      <c r="C478" s="105"/>
      <c r="D478" s="29">
        <v>21</v>
      </c>
      <c r="E478" s="4">
        <v>67.88</v>
      </c>
      <c r="F478" s="4">
        <v>74.23</v>
      </c>
      <c r="G478" s="1">
        <v>235</v>
      </c>
      <c r="H478" s="33">
        <v>0.76</v>
      </c>
      <c r="I478" s="8">
        <v>0.76600000000000001</v>
      </c>
      <c r="J478" s="8">
        <v>0.57899999999999996</v>
      </c>
      <c r="K478" s="8">
        <v>0.64600000000000002</v>
      </c>
      <c r="L478" s="8">
        <v>0.56699999999999995</v>
      </c>
      <c r="M478" s="8">
        <v>7.0000000000000007E-2</v>
      </c>
      <c r="N478" s="8">
        <v>0.02</v>
      </c>
      <c r="O478" s="8">
        <v>7.1999999999999995E-2</v>
      </c>
      <c r="P478" s="8">
        <v>2.4E-2</v>
      </c>
    </row>
    <row r="479" spans="2:16" x14ac:dyDescent="0.2">
      <c r="B479" s="105"/>
      <c r="C479" s="105"/>
      <c r="D479" s="29">
        <v>47</v>
      </c>
      <c r="E479" s="4">
        <v>68.260000000000005</v>
      </c>
      <c r="F479" s="4">
        <v>74.42</v>
      </c>
      <c r="G479" s="1">
        <v>243</v>
      </c>
      <c r="H479" s="8">
        <v>0.755</v>
      </c>
      <c r="I479" s="8">
        <v>0.22700000000000001</v>
      </c>
      <c r="J479" s="8">
        <v>0.36599999999999999</v>
      </c>
      <c r="K479" s="8">
        <v>0.40600000000000003</v>
      </c>
      <c r="L479" s="8">
        <v>0.40300000000000002</v>
      </c>
      <c r="M479" s="8">
        <v>6.0999999999999999E-2</v>
      </c>
      <c r="N479" s="8">
        <v>9.0999999999999998E-2</v>
      </c>
      <c r="O479" s="8">
        <v>4.7E-2</v>
      </c>
      <c r="P479" s="8">
        <v>3.6999999999999998E-2</v>
      </c>
    </row>
    <row r="480" spans="2:16" x14ac:dyDescent="0.2">
      <c r="B480" s="105"/>
      <c r="C480" s="105"/>
      <c r="D480" s="29">
        <v>50</v>
      </c>
      <c r="E480" s="4">
        <v>70.88</v>
      </c>
      <c r="F480" s="4">
        <v>75.3</v>
      </c>
      <c r="G480" s="1">
        <v>423</v>
      </c>
      <c r="H480" s="8">
        <v>0.69299999999999995</v>
      </c>
      <c r="I480" s="8">
        <v>0.45200000000000001</v>
      </c>
      <c r="J480" s="8">
        <v>0.51900000000000002</v>
      </c>
      <c r="K480" s="8">
        <v>0.311</v>
      </c>
      <c r="L480" s="8">
        <v>0.38</v>
      </c>
      <c r="M480" s="8">
        <v>4.2000000000000003E-2</v>
      </c>
      <c r="N480" s="8">
        <v>3.4000000000000002E-2</v>
      </c>
      <c r="O480" s="8">
        <v>5.8999999999999997E-2</v>
      </c>
      <c r="P480" s="8">
        <v>5.3999999999999999E-2</v>
      </c>
    </row>
    <row r="481" spans="2:18" x14ac:dyDescent="0.2">
      <c r="B481" s="105"/>
      <c r="C481" s="105"/>
      <c r="D481" s="30">
        <v>91</v>
      </c>
      <c r="E481" s="27">
        <v>68.78</v>
      </c>
      <c r="F481" s="27">
        <v>74.569999999999993</v>
      </c>
      <c r="G481" s="26">
        <v>283</v>
      </c>
      <c r="H481" s="32">
        <v>0.74199999999999999</v>
      </c>
      <c r="I481" s="32">
        <v>8.3000000000000004E-2</v>
      </c>
      <c r="J481" s="32">
        <v>0.104</v>
      </c>
      <c r="K481" s="32">
        <v>0.13900000000000001</v>
      </c>
      <c r="L481" s="32">
        <v>0.312</v>
      </c>
      <c r="M481" s="32">
        <v>3.3000000000000002E-2</v>
      </c>
      <c r="N481" s="32">
        <v>4.8000000000000001E-2</v>
      </c>
      <c r="O481" s="32">
        <v>4.2999999999999997E-2</v>
      </c>
      <c r="P481" s="32">
        <v>5.7000000000000002E-2</v>
      </c>
    </row>
    <row r="482" spans="2:18" x14ac:dyDescent="0.2">
      <c r="B482" s="106"/>
      <c r="C482" s="106"/>
      <c r="D482" s="6" t="s">
        <v>8</v>
      </c>
      <c r="E482" s="7">
        <f>AVERAGE(E477:E481)</f>
        <v>69.13</v>
      </c>
      <c r="F482" s="7">
        <f>AVERAGE(F477:F481)</f>
        <v>74.706000000000003</v>
      </c>
      <c r="G482" s="35">
        <f>AVERAGE(G477:G481)</f>
        <v>303.8</v>
      </c>
      <c r="H482" s="34">
        <f>AVERAGE(H477:H481)</f>
        <v>0.73419999999999996</v>
      </c>
      <c r="I482" s="34">
        <f t="shared" ref="I482:K482" si="96">AVERAGE(I477:I481)</f>
        <v>0.3528</v>
      </c>
      <c r="J482" s="34">
        <f t="shared" ref="J482:M482" si="97">AVERAGE(J477:J481)</f>
        <v>0.40040000000000003</v>
      </c>
      <c r="K482" s="34">
        <f t="shared" si="96"/>
        <v>0.35980000000000001</v>
      </c>
      <c r="L482" s="34">
        <f t="shared" si="97"/>
        <v>0.40199999999999997</v>
      </c>
      <c r="M482" s="34">
        <f t="shared" si="97"/>
        <v>5.6000000000000008E-2</v>
      </c>
      <c r="N482" s="34">
        <f t="shared" ref="N482:P482" si="98">AVERAGE(N477:N481)</f>
        <v>8.48E-2</v>
      </c>
      <c r="O482" s="34">
        <f t="shared" si="98"/>
        <v>5.7599999999999998E-2</v>
      </c>
      <c r="P482" s="34">
        <f t="shared" si="98"/>
        <v>6.9199999999999998E-2</v>
      </c>
    </row>
    <row r="483" spans="2:18" x14ac:dyDescent="0.2">
      <c r="D483" s="61"/>
      <c r="E483" s="62"/>
      <c r="F483" s="62"/>
      <c r="G483" s="63"/>
      <c r="H483" s="64"/>
    </row>
    <row r="484" spans="2:18" x14ac:dyDescent="0.2">
      <c r="D484" s="61"/>
      <c r="E484" s="62"/>
      <c r="F484" s="62"/>
      <c r="G484" s="63"/>
      <c r="H484" s="64"/>
    </row>
    <row r="485" spans="2:18" x14ac:dyDescent="0.2">
      <c r="D485" s="61"/>
      <c r="E485" s="62"/>
      <c r="F485" s="62"/>
      <c r="G485" s="63"/>
      <c r="H485" s="64"/>
    </row>
    <row r="486" spans="2:18" x14ac:dyDescent="0.2">
      <c r="D486" s="61"/>
      <c r="E486" s="62"/>
      <c r="F486" s="62"/>
      <c r="G486" s="63"/>
      <c r="H486" s="64"/>
      <c r="I486" s="125" t="s">
        <v>45</v>
      </c>
      <c r="J486" s="125"/>
      <c r="K486" s="125"/>
      <c r="L486" s="125"/>
      <c r="M486" s="125" t="s">
        <v>46</v>
      </c>
      <c r="N486" s="125"/>
      <c r="O486" s="125"/>
      <c r="P486" s="125"/>
    </row>
    <row r="487" spans="2:18" x14ac:dyDescent="0.2">
      <c r="B487" s="100" t="s">
        <v>23</v>
      </c>
      <c r="C487" s="107" t="s">
        <v>15</v>
      </c>
      <c r="D487" s="108"/>
      <c r="E487" s="108"/>
      <c r="F487" s="108"/>
      <c r="G487" s="108"/>
      <c r="H487" s="108"/>
      <c r="I487" s="107" t="s">
        <v>39</v>
      </c>
      <c r="J487" s="111"/>
      <c r="K487" s="107" t="s">
        <v>42</v>
      </c>
      <c r="L487" s="111"/>
      <c r="M487" s="107" t="s">
        <v>39</v>
      </c>
      <c r="N487" s="111"/>
      <c r="O487" s="107" t="s">
        <v>42</v>
      </c>
      <c r="P487" s="111"/>
    </row>
    <row r="488" spans="2:18" x14ac:dyDescent="0.2">
      <c r="B488" s="101"/>
      <c r="C488" s="19" t="s">
        <v>3</v>
      </c>
      <c r="D488" s="1" t="s">
        <v>4</v>
      </c>
      <c r="E488" s="1" t="s">
        <v>6</v>
      </c>
      <c r="F488" s="2" t="s">
        <v>7</v>
      </c>
      <c r="G488" s="1" t="s">
        <v>24</v>
      </c>
      <c r="H488" s="8" t="s">
        <v>25</v>
      </c>
      <c r="I488" s="8" t="s">
        <v>43</v>
      </c>
      <c r="J488" s="8" t="s">
        <v>44</v>
      </c>
      <c r="K488" s="8" t="s">
        <v>43</v>
      </c>
      <c r="L488" s="8" t="s">
        <v>44</v>
      </c>
      <c r="M488" s="8" t="s">
        <v>43</v>
      </c>
      <c r="N488" s="8" t="s">
        <v>44</v>
      </c>
      <c r="O488" s="8" t="s">
        <v>43</v>
      </c>
      <c r="P488" s="8" t="s">
        <v>44</v>
      </c>
    </row>
    <row r="489" spans="2:18" x14ac:dyDescent="0.2">
      <c r="B489" s="102">
        <v>1</v>
      </c>
      <c r="C489" s="104">
        <v>8</v>
      </c>
      <c r="D489" s="28">
        <v>13</v>
      </c>
      <c r="E489" s="25">
        <v>72.739999999999995</v>
      </c>
      <c r="F489" s="1">
        <v>70.540000000000006</v>
      </c>
      <c r="G489" s="25">
        <v>1389</v>
      </c>
      <c r="H489" s="36">
        <v>0.42499999999999999</v>
      </c>
      <c r="I489" s="36">
        <v>0.28699999999999998</v>
      </c>
      <c r="J489" s="36">
        <v>0.38800000000000001</v>
      </c>
      <c r="K489" s="36">
        <v>0.218</v>
      </c>
      <c r="L489" s="36">
        <v>0.30599999999999999</v>
      </c>
      <c r="M489" s="36">
        <v>0.108</v>
      </c>
      <c r="N489" s="36">
        <v>0.22900000000000001</v>
      </c>
      <c r="O489" s="36">
        <v>6.4000000000000001E-2</v>
      </c>
      <c r="P489" s="36">
        <v>0.17799999999999999</v>
      </c>
      <c r="Q489" s="1">
        <v>7.8E-2</v>
      </c>
      <c r="R489" s="1">
        <v>0.189</v>
      </c>
    </row>
    <row r="490" spans="2:18" x14ac:dyDescent="0.2">
      <c r="B490" s="103"/>
      <c r="C490" s="105"/>
      <c r="D490" s="29">
        <v>21</v>
      </c>
      <c r="E490" s="4">
        <v>72.81</v>
      </c>
      <c r="F490" s="4">
        <v>71.92</v>
      </c>
      <c r="G490" s="1">
        <v>1214</v>
      </c>
      <c r="H490" s="8">
        <v>0.46800000000000003</v>
      </c>
      <c r="I490" s="8">
        <v>0.152</v>
      </c>
      <c r="J490" s="8">
        <v>0.33700000000000002</v>
      </c>
      <c r="K490" s="8">
        <v>0.14499999999999999</v>
      </c>
      <c r="L490" s="8">
        <v>0.28599999999999998</v>
      </c>
      <c r="M490" s="33">
        <v>5.2999999999999999E-2</v>
      </c>
      <c r="N490" s="33">
        <v>0.112</v>
      </c>
      <c r="O490" s="8">
        <v>4.2000000000000003E-2</v>
      </c>
      <c r="P490" s="8">
        <v>6.9000000000000006E-2</v>
      </c>
      <c r="Q490" s="1">
        <v>4.9000000000000002E-2</v>
      </c>
      <c r="R490" s="1">
        <v>8.5999999999999993E-2</v>
      </c>
    </row>
    <row r="491" spans="2:18" x14ac:dyDescent="0.2">
      <c r="B491" s="103"/>
      <c r="C491" s="105"/>
      <c r="D491" s="29">
        <v>47</v>
      </c>
      <c r="E491" s="4">
        <v>73.06</v>
      </c>
      <c r="F491" s="4">
        <v>71.97</v>
      </c>
      <c r="G491" s="1">
        <v>1234</v>
      </c>
      <c r="H491" s="8">
        <v>0.46100000000000002</v>
      </c>
      <c r="I491" s="8">
        <v>9.6000000000000002E-2</v>
      </c>
      <c r="J491" s="8">
        <v>0.188</v>
      </c>
      <c r="K491" s="8">
        <v>0.19700000000000001</v>
      </c>
      <c r="L491" s="8">
        <v>0.23499999999999999</v>
      </c>
      <c r="M491" s="33">
        <v>3.2000000000000001E-2</v>
      </c>
      <c r="N491" s="33">
        <v>5.5E-2</v>
      </c>
      <c r="O491" s="8">
        <v>4.7E-2</v>
      </c>
      <c r="P491" s="8">
        <v>7.0999999999999994E-2</v>
      </c>
      <c r="Q491" s="1">
        <v>4.9000000000000002E-2</v>
      </c>
      <c r="R491" s="1">
        <v>8.3000000000000004E-2</v>
      </c>
    </row>
    <row r="492" spans="2:18" x14ac:dyDescent="0.2">
      <c r="B492" s="103"/>
      <c r="C492" s="105"/>
      <c r="D492" s="29">
        <v>50</v>
      </c>
      <c r="E492" s="4">
        <v>72.790000000000006</v>
      </c>
      <c r="F492" s="4">
        <v>71.69</v>
      </c>
      <c r="G492" s="1">
        <v>1244</v>
      </c>
      <c r="H492" s="8">
        <v>0.46100000000000002</v>
      </c>
      <c r="I492" s="8">
        <v>0.32</v>
      </c>
      <c r="J492" s="8">
        <v>0.378</v>
      </c>
      <c r="K492" s="8">
        <v>0.30599999999999999</v>
      </c>
      <c r="L492" s="8">
        <v>0.23499999999999999</v>
      </c>
      <c r="M492" s="33">
        <v>9.2999999999999999E-2</v>
      </c>
      <c r="N492" s="33">
        <v>0.124</v>
      </c>
      <c r="O492" s="8">
        <v>4.9000000000000002E-2</v>
      </c>
      <c r="P492" s="8">
        <v>6.4000000000000001E-2</v>
      </c>
      <c r="Q492" s="1">
        <v>5.0999999999999997E-2</v>
      </c>
      <c r="R492" s="1">
        <v>8.5000000000000006E-2</v>
      </c>
    </row>
    <row r="493" spans="2:18" x14ac:dyDescent="0.2">
      <c r="B493" s="103"/>
      <c r="C493" s="105"/>
      <c r="D493" s="30">
        <v>91</v>
      </c>
      <c r="E493" s="27">
        <v>72.47</v>
      </c>
      <c r="F493" s="27">
        <v>70.69</v>
      </c>
      <c r="G493" s="26">
        <v>1345</v>
      </c>
      <c r="H493" s="32">
        <v>0.439</v>
      </c>
      <c r="I493" s="32">
        <v>0.23699999999999999</v>
      </c>
      <c r="J493" s="32">
        <v>0.14199999999999999</v>
      </c>
      <c r="K493" s="32">
        <v>0.20899999999999999</v>
      </c>
      <c r="L493" s="32">
        <v>0.18099999999999999</v>
      </c>
      <c r="M493" s="52">
        <v>6.6000000000000003E-2</v>
      </c>
      <c r="N493" s="52">
        <v>3.5999999999999997E-2</v>
      </c>
      <c r="O493" s="32">
        <v>4.5999999999999999E-2</v>
      </c>
      <c r="P493" s="32">
        <v>4.3999999999999997E-2</v>
      </c>
      <c r="Q493" s="1">
        <v>5.0999999999999997E-2</v>
      </c>
      <c r="R493" s="1">
        <v>4.2000000000000003E-2</v>
      </c>
    </row>
    <row r="494" spans="2:18" x14ac:dyDescent="0.2">
      <c r="B494" s="101"/>
      <c r="C494" s="105"/>
      <c r="D494" s="6" t="s">
        <v>8</v>
      </c>
      <c r="E494" s="7">
        <f>AVERAGE(E489:E493)</f>
        <v>72.774000000000001</v>
      </c>
      <c r="F494" s="7">
        <f>AVERAGE(F489:F493)</f>
        <v>71.361999999999995</v>
      </c>
      <c r="G494" s="35">
        <f>AVERAGE(G489:G493)</f>
        <v>1285.2</v>
      </c>
      <c r="H494" s="34">
        <f>AVERAGE(H489:H493)</f>
        <v>0.45079999999999998</v>
      </c>
      <c r="I494" s="34">
        <f t="shared" ref="I494" si="99">AVERAGE(I489:I493)</f>
        <v>0.21840000000000001</v>
      </c>
      <c r="J494" s="34">
        <f t="shared" ref="J494:P494" si="100">AVERAGE(J489:J493)</f>
        <v>0.28659999999999997</v>
      </c>
      <c r="K494" s="34">
        <f t="shared" si="100"/>
        <v>0.21500000000000002</v>
      </c>
      <c r="L494" s="34">
        <f t="shared" si="100"/>
        <v>0.24859999999999999</v>
      </c>
      <c r="M494" s="34">
        <f t="shared" si="100"/>
        <v>7.0400000000000004E-2</v>
      </c>
      <c r="N494" s="34">
        <f t="shared" si="100"/>
        <v>0.11120000000000001</v>
      </c>
      <c r="O494" s="34">
        <f t="shared" si="100"/>
        <v>4.9599999999999998E-2</v>
      </c>
      <c r="P494" s="34">
        <f t="shared" si="100"/>
        <v>8.5199999999999998E-2</v>
      </c>
      <c r="Q494" s="34">
        <f>AVERAGE(Q489:Q493)</f>
        <v>5.5599999999999997E-2</v>
      </c>
      <c r="R494" s="34">
        <f>AVERAGE(R489:R493)</f>
        <v>9.7000000000000003E-2</v>
      </c>
    </row>
    <row r="495" spans="2:18" x14ac:dyDescent="0.2">
      <c r="B495" s="104">
        <v>1.2</v>
      </c>
      <c r="C495" s="105"/>
      <c r="D495" s="28">
        <v>13</v>
      </c>
      <c r="E495" s="25">
        <v>72.959999999999994</v>
      </c>
      <c r="F495" s="25">
        <v>71.13</v>
      </c>
      <c r="G495" s="25">
        <v>1336</v>
      </c>
      <c r="H495" s="31">
        <v>0.436</v>
      </c>
      <c r="I495" s="36">
        <v>0.22</v>
      </c>
      <c r="J495" s="36">
        <v>0.41399999999999998</v>
      </c>
      <c r="K495" s="36">
        <v>0.222</v>
      </c>
      <c r="L495" s="36">
        <v>0.39500000000000002</v>
      </c>
      <c r="M495" s="36">
        <v>8.4000000000000005E-2</v>
      </c>
      <c r="N495" s="36">
        <v>0.23799999999999999</v>
      </c>
      <c r="O495" s="36">
        <v>8.2000000000000003E-2</v>
      </c>
      <c r="P495" s="36">
        <v>0.24099999999999999</v>
      </c>
    </row>
    <row r="496" spans="2:18" x14ac:dyDescent="0.2">
      <c r="B496" s="105"/>
      <c r="C496" s="105"/>
      <c r="D496" s="29">
        <v>21</v>
      </c>
      <c r="E496" s="4">
        <v>72.260000000000005</v>
      </c>
      <c r="F496" s="4">
        <v>72.790000000000006</v>
      </c>
      <c r="G496" s="1">
        <v>1032</v>
      </c>
      <c r="H496" s="33">
        <v>0.51900000000000002</v>
      </c>
      <c r="I496" s="8">
        <v>0.16800000000000001</v>
      </c>
      <c r="J496" s="8">
        <v>0.25700000000000001</v>
      </c>
      <c r="K496" s="8">
        <v>0.157</v>
      </c>
      <c r="L496" s="8">
        <v>0.24299999999999999</v>
      </c>
      <c r="M496" s="33">
        <v>5.7000000000000002E-2</v>
      </c>
      <c r="N496" s="33">
        <v>0.158</v>
      </c>
      <c r="O496" s="8">
        <v>5.5E-2</v>
      </c>
      <c r="P496" s="8">
        <v>0.151</v>
      </c>
    </row>
    <row r="497" spans="2:16" x14ac:dyDescent="0.2">
      <c r="B497" s="105"/>
      <c r="C497" s="105"/>
      <c r="D497" s="29">
        <v>47</v>
      </c>
      <c r="E497" s="4">
        <v>72.89</v>
      </c>
      <c r="F497" s="4">
        <v>73.13</v>
      </c>
      <c r="G497" s="1">
        <v>1048</v>
      </c>
      <c r="H497" s="8">
        <v>0.50900000000000001</v>
      </c>
      <c r="I497" s="8">
        <v>0.192</v>
      </c>
      <c r="J497" s="8">
        <v>0.28699999999999998</v>
      </c>
      <c r="K497" s="8">
        <v>0.17799999999999999</v>
      </c>
      <c r="L497" s="8">
        <v>0.28199999999999997</v>
      </c>
      <c r="M497" s="33">
        <v>4.7E-2</v>
      </c>
      <c r="N497" s="33">
        <v>0.17</v>
      </c>
      <c r="O497" s="8">
        <v>4.5999999999999999E-2</v>
      </c>
      <c r="P497" s="8">
        <v>0.16500000000000001</v>
      </c>
    </row>
    <row r="498" spans="2:16" x14ac:dyDescent="0.2">
      <c r="B498" s="105"/>
      <c r="C498" s="105"/>
      <c r="D498" s="29">
        <v>50</v>
      </c>
      <c r="E498" s="4">
        <v>72.69</v>
      </c>
      <c r="F498" s="4">
        <v>72.89</v>
      </c>
      <c r="G498" s="1">
        <v>1063</v>
      </c>
      <c r="H498" s="8">
        <v>0.50700000000000001</v>
      </c>
      <c r="I498" s="8">
        <v>0.45</v>
      </c>
      <c r="J498" s="8">
        <v>0.35399999999999998</v>
      </c>
      <c r="K498" s="8">
        <v>0.53800000000000003</v>
      </c>
      <c r="L498" s="8">
        <v>0.32700000000000001</v>
      </c>
      <c r="M498" s="33">
        <v>0.13300000000000001</v>
      </c>
      <c r="N498" s="33">
        <v>0.11899999999999999</v>
      </c>
      <c r="O498" s="8">
        <v>0.13</v>
      </c>
      <c r="P498" s="8">
        <v>0.13300000000000001</v>
      </c>
    </row>
    <row r="499" spans="2:16" x14ac:dyDescent="0.2">
      <c r="B499" s="105"/>
      <c r="C499" s="105"/>
      <c r="D499" s="30">
        <v>91</v>
      </c>
      <c r="E499" s="27">
        <v>72.94</v>
      </c>
      <c r="F499" s="27">
        <v>71.92</v>
      </c>
      <c r="G499" s="26">
        <v>1337</v>
      </c>
      <c r="H499" s="32">
        <v>0.46400000000000002</v>
      </c>
      <c r="I499" s="32">
        <v>0.17299999999999999</v>
      </c>
      <c r="J499" s="32">
        <v>0.13500000000000001</v>
      </c>
      <c r="K499" s="32">
        <v>0.17399999999999999</v>
      </c>
      <c r="L499" s="32">
        <v>0.151</v>
      </c>
      <c r="M499" s="52">
        <v>7.8E-2</v>
      </c>
      <c r="N499" s="52">
        <v>4.8000000000000001E-2</v>
      </c>
      <c r="O499" s="32">
        <v>7.5999999999999998E-2</v>
      </c>
      <c r="P499" s="32">
        <v>5.1999999999999998E-2</v>
      </c>
    </row>
    <row r="500" spans="2:16" x14ac:dyDescent="0.2">
      <c r="B500" s="106"/>
      <c r="C500" s="105"/>
      <c r="D500" s="6" t="s">
        <v>8</v>
      </c>
      <c r="E500" s="7">
        <f>AVERAGE(E495:E499)</f>
        <v>72.748000000000005</v>
      </c>
      <c r="F500" s="7">
        <f>AVERAGE(F495:F499)</f>
        <v>72.372</v>
      </c>
      <c r="G500" s="35">
        <f>AVERAGE(G495:G499)</f>
        <v>1163.2</v>
      </c>
      <c r="H500" s="34">
        <f>AVERAGE(H495:H499)</f>
        <v>0.48699999999999999</v>
      </c>
      <c r="I500" s="34">
        <f t="shared" ref="I500" si="101">AVERAGE(I495:I499)</f>
        <v>0.24060000000000001</v>
      </c>
      <c r="J500" s="34">
        <f t="shared" ref="J500:P500" si="102">AVERAGE(J495:J499)</f>
        <v>0.28939999999999999</v>
      </c>
      <c r="K500" s="34">
        <f t="shared" si="102"/>
        <v>0.25379999999999997</v>
      </c>
      <c r="L500" s="34">
        <f t="shared" si="102"/>
        <v>0.27959999999999996</v>
      </c>
      <c r="M500" s="34">
        <f t="shared" si="102"/>
        <v>7.980000000000001E-2</v>
      </c>
      <c r="N500" s="34">
        <f t="shared" si="102"/>
        <v>0.14660000000000001</v>
      </c>
      <c r="O500" s="34">
        <f t="shared" si="102"/>
        <v>7.7800000000000008E-2</v>
      </c>
      <c r="P500" s="34">
        <f t="shared" si="102"/>
        <v>0.14840000000000003</v>
      </c>
    </row>
    <row r="501" spans="2:16" x14ac:dyDescent="0.2">
      <c r="B501" s="104">
        <v>1.4</v>
      </c>
      <c r="C501" s="105"/>
      <c r="D501" s="28">
        <v>13</v>
      </c>
      <c r="E501" s="51">
        <v>67.400000000000006</v>
      </c>
      <c r="F501" s="25">
        <v>72.650000000000006</v>
      </c>
      <c r="G501" s="25">
        <v>536</v>
      </c>
      <c r="H501" s="31">
        <v>0.69199999999999995</v>
      </c>
      <c r="I501" s="36">
        <v>0.72</v>
      </c>
      <c r="J501" s="36">
        <v>0.74399999999999999</v>
      </c>
      <c r="K501" s="36">
        <v>0.70699999999999996</v>
      </c>
      <c r="L501" s="36">
        <v>0.73</v>
      </c>
      <c r="M501" s="36">
        <v>5.1999999999999998E-2</v>
      </c>
      <c r="N501" s="36">
        <v>0.109</v>
      </c>
      <c r="O501" s="36">
        <v>5.3999999999999999E-2</v>
      </c>
      <c r="P501" s="36">
        <v>0.109</v>
      </c>
    </row>
    <row r="502" spans="2:16" x14ac:dyDescent="0.2">
      <c r="B502" s="105"/>
      <c r="C502" s="105"/>
      <c r="D502" s="29">
        <v>21</v>
      </c>
      <c r="E502" s="4">
        <v>66.73</v>
      </c>
      <c r="F502" s="4">
        <v>71.900000000000006</v>
      </c>
      <c r="G502" s="1">
        <v>595</v>
      </c>
      <c r="H502" s="33">
        <v>0.68400000000000005</v>
      </c>
      <c r="I502" s="8">
        <v>0.86099999999999999</v>
      </c>
      <c r="J502" s="8">
        <v>0.29399999999999998</v>
      </c>
      <c r="K502" s="8">
        <v>0.96599999999999997</v>
      </c>
      <c r="L502" s="8">
        <v>0.29699999999999999</v>
      </c>
      <c r="M502" s="33">
        <v>5.8999999999999997E-2</v>
      </c>
      <c r="N502" s="33">
        <v>0.17</v>
      </c>
      <c r="O502" s="8">
        <v>0.06</v>
      </c>
      <c r="P502" s="8">
        <v>0.17199999999999999</v>
      </c>
    </row>
    <row r="503" spans="2:16" x14ac:dyDescent="0.2">
      <c r="B503" s="105"/>
      <c r="C503" s="105"/>
      <c r="D503" s="29">
        <v>47</v>
      </c>
      <c r="E503" s="4">
        <v>67.209999999999994</v>
      </c>
      <c r="F503" s="4">
        <v>72.5</v>
      </c>
      <c r="G503" s="1">
        <v>542</v>
      </c>
      <c r="H503" s="8">
        <v>0.69199999999999995</v>
      </c>
      <c r="I503" s="8">
        <v>0.46200000000000002</v>
      </c>
      <c r="J503" s="8">
        <v>0.52500000000000002</v>
      </c>
      <c r="K503" s="8">
        <v>0.52700000000000002</v>
      </c>
      <c r="L503" s="8">
        <v>0.60899999999999999</v>
      </c>
      <c r="M503" s="33">
        <v>4.3999999999999997E-2</v>
      </c>
      <c r="N503" s="33">
        <v>0.04</v>
      </c>
      <c r="O503" s="8">
        <v>4.3999999999999997E-2</v>
      </c>
      <c r="P503" s="8">
        <v>3.5999999999999997E-2</v>
      </c>
    </row>
    <row r="504" spans="2:16" x14ac:dyDescent="0.2">
      <c r="B504" s="105"/>
      <c r="C504" s="105"/>
      <c r="D504" s="29">
        <v>50</v>
      </c>
      <c r="E504" s="4">
        <v>66.989999999999995</v>
      </c>
      <c r="F504" s="4">
        <v>72.37</v>
      </c>
      <c r="G504" s="1">
        <v>542</v>
      </c>
      <c r="H504" s="8">
        <v>0.69499999999999995</v>
      </c>
      <c r="I504" s="8">
        <v>0.86699999999999999</v>
      </c>
      <c r="J504" s="8">
        <v>0.35399999999999998</v>
      </c>
      <c r="K504" s="8">
        <v>0.78500000000000003</v>
      </c>
      <c r="L504" s="8">
        <v>0.35299999999999998</v>
      </c>
      <c r="M504" s="33">
        <v>0.112</v>
      </c>
      <c r="N504" s="33">
        <v>0.218</v>
      </c>
      <c r="O504" s="8">
        <v>0.109</v>
      </c>
      <c r="P504" s="8">
        <v>0.215</v>
      </c>
    </row>
    <row r="505" spans="2:16" x14ac:dyDescent="0.2">
      <c r="B505" s="105"/>
      <c r="C505" s="105"/>
      <c r="D505" s="30">
        <v>91</v>
      </c>
      <c r="E505" s="27">
        <v>70.06</v>
      </c>
      <c r="F505" s="27">
        <v>73.209999999999994</v>
      </c>
      <c r="G505" s="26">
        <v>728</v>
      </c>
      <c r="H505" s="32">
        <v>0.61699999999999999</v>
      </c>
      <c r="I505" s="32">
        <v>0.307</v>
      </c>
      <c r="J505" s="32">
        <v>0.26500000000000001</v>
      </c>
      <c r="K505" s="32">
        <v>0.371</v>
      </c>
      <c r="L505" s="32">
        <v>0.27</v>
      </c>
      <c r="M505" s="52">
        <v>8.5000000000000006E-2</v>
      </c>
      <c r="N505" s="52">
        <v>0.1</v>
      </c>
      <c r="O505" s="32">
        <v>8.3000000000000004E-2</v>
      </c>
      <c r="P505" s="32">
        <v>0.105</v>
      </c>
    </row>
    <row r="506" spans="2:16" x14ac:dyDescent="0.2">
      <c r="B506" s="106"/>
      <c r="C506" s="106"/>
      <c r="D506" s="6" t="s">
        <v>8</v>
      </c>
      <c r="E506" s="7">
        <f>AVERAGE(E501:E505)</f>
        <v>67.677999999999997</v>
      </c>
      <c r="F506" s="7">
        <f>AVERAGE(F501:F505)</f>
        <v>72.525999999999996</v>
      </c>
      <c r="G506" s="35">
        <f>AVERAGE(G501:G505)</f>
        <v>588.6</v>
      </c>
      <c r="H506" s="34">
        <f>AVERAGE(H501:H505)</f>
        <v>0.67599999999999993</v>
      </c>
      <c r="I506" s="34">
        <f t="shared" ref="I506" si="103">AVERAGE(I501:I505)</f>
        <v>0.64339999999999997</v>
      </c>
      <c r="J506" s="34">
        <f t="shared" ref="J506:P506" si="104">AVERAGE(J501:J505)</f>
        <v>0.43640000000000007</v>
      </c>
      <c r="K506" s="34">
        <f t="shared" si="104"/>
        <v>0.67120000000000002</v>
      </c>
      <c r="L506" s="34">
        <f t="shared" si="104"/>
        <v>0.45179999999999998</v>
      </c>
      <c r="M506" s="34">
        <f t="shared" si="104"/>
        <v>7.039999999999999E-2</v>
      </c>
      <c r="N506" s="34">
        <f t="shared" si="104"/>
        <v>0.12740000000000001</v>
      </c>
      <c r="O506" s="34">
        <f t="shared" si="104"/>
        <v>6.9999999999999993E-2</v>
      </c>
      <c r="P506" s="34">
        <f t="shared" si="104"/>
        <v>0.12739999999999999</v>
      </c>
    </row>
    <row r="507" spans="2:16" x14ac:dyDescent="0.2">
      <c r="B507" s="102">
        <v>1</v>
      </c>
      <c r="C507" s="104">
        <v>16</v>
      </c>
      <c r="D507" s="28">
        <v>13</v>
      </c>
      <c r="E507" s="51">
        <v>73.099999999999994</v>
      </c>
      <c r="F507" s="1">
        <v>70.540000000000006</v>
      </c>
      <c r="G507" s="25">
        <v>1423</v>
      </c>
      <c r="H507" s="31">
        <v>0.41299999999999998</v>
      </c>
      <c r="I507" s="36">
        <v>9.6000000000000002E-2</v>
      </c>
      <c r="J507" s="36">
        <v>0.187</v>
      </c>
      <c r="K507" s="36">
        <v>9.0999999999999998E-2</v>
      </c>
      <c r="L507" s="36">
        <v>0.14699999999999999</v>
      </c>
      <c r="M507" s="36">
        <v>4.1000000000000002E-2</v>
      </c>
      <c r="N507" s="36">
        <v>8.4000000000000005E-2</v>
      </c>
      <c r="O507" s="36">
        <v>2.5999999999999999E-2</v>
      </c>
      <c r="P507" s="36">
        <v>6.4000000000000001E-2</v>
      </c>
    </row>
    <row r="508" spans="2:16" x14ac:dyDescent="0.2">
      <c r="B508" s="103"/>
      <c r="C508" s="105"/>
      <c r="D508" s="29">
        <v>21</v>
      </c>
      <c r="E508" s="4">
        <v>72.989999999999995</v>
      </c>
      <c r="F508" s="4">
        <v>71.010000000000005</v>
      </c>
      <c r="G508" s="1">
        <v>1353</v>
      </c>
      <c r="H508" s="8">
        <v>0.432</v>
      </c>
      <c r="I508" s="8">
        <v>0.11899999999999999</v>
      </c>
      <c r="J508" s="8">
        <v>8.6999999999999994E-2</v>
      </c>
      <c r="K508" s="8">
        <v>8.8999999999999996E-2</v>
      </c>
      <c r="L508" s="8">
        <v>0.09</v>
      </c>
      <c r="M508" s="8">
        <v>4.2000000000000003E-2</v>
      </c>
      <c r="N508" s="8">
        <v>3.6999999999999998E-2</v>
      </c>
      <c r="O508" s="8">
        <v>3.5000000000000003E-2</v>
      </c>
      <c r="P508" s="8">
        <v>0.03</v>
      </c>
    </row>
    <row r="509" spans="2:16" x14ac:dyDescent="0.2">
      <c r="B509" s="103"/>
      <c r="C509" s="105"/>
      <c r="D509" s="29">
        <v>47</v>
      </c>
      <c r="E509" s="4">
        <v>73.08</v>
      </c>
      <c r="F509" s="4">
        <v>71.44</v>
      </c>
      <c r="G509" s="1">
        <v>1306</v>
      </c>
      <c r="H509" s="8">
        <v>0.443</v>
      </c>
      <c r="I509" s="8">
        <v>8.1000000000000003E-2</v>
      </c>
      <c r="J509" s="8">
        <v>0.219</v>
      </c>
      <c r="K509" s="8">
        <v>0.112</v>
      </c>
      <c r="L509" s="8">
        <v>0.27400000000000002</v>
      </c>
      <c r="M509" s="8">
        <v>3.5000000000000003E-2</v>
      </c>
      <c r="N509" s="8">
        <v>9.0999999999999998E-2</v>
      </c>
      <c r="O509" s="8">
        <v>3.4000000000000002E-2</v>
      </c>
      <c r="P509" s="8">
        <v>7.8E-2</v>
      </c>
    </row>
    <row r="510" spans="2:16" x14ac:dyDescent="0.2">
      <c r="B510" s="103"/>
      <c r="C510" s="105"/>
      <c r="D510" s="29">
        <v>50</v>
      </c>
      <c r="E510" s="4">
        <v>73</v>
      </c>
      <c r="F510" s="4">
        <v>71.849999999999994</v>
      </c>
      <c r="G510" s="1">
        <v>1244</v>
      </c>
      <c r="H510" s="8">
        <v>0.45900000000000002</v>
      </c>
      <c r="I510" s="8">
        <v>9.9000000000000005E-2</v>
      </c>
      <c r="J510" s="8">
        <v>0.13100000000000001</v>
      </c>
      <c r="K510" s="8">
        <v>6.8000000000000005E-2</v>
      </c>
      <c r="L510" s="8">
        <v>0.193</v>
      </c>
      <c r="M510" s="8">
        <v>3.9E-2</v>
      </c>
      <c r="N510" s="8">
        <v>4.2000000000000003E-2</v>
      </c>
      <c r="O510" s="8">
        <v>2.5000000000000001E-2</v>
      </c>
      <c r="P510" s="8">
        <v>0.03</v>
      </c>
    </row>
    <row r="511" spans="2:16" x14ac:dyDescent="0.2">
      <c r="B511" s="103"/>
      <c r="C511" s="105"/>
      <c r="D511" s="30">
        <v>91</v>
      </c>
      <c r="E511" s="27">
        <v>72.959999999999994</v>
      </c>
      <c r="F511" s="27">
        <v>71.349999999999994</v>
      </c>
      <c r="G511" s="26">
        <v>1307</v>
      </c>
      <c r="H511" s="32">
        <v>0.44400000000000001</v>
      </c>
      <c r="I511" s="32">
        <v>0.10299999999999999</v>
      </c>
      <c r="J511" s="32">
        <v>0.13500000000000001</v>
      </c>
      <c r="K511" s="32">
        <v>6.6000000000000003E-2</v>
      </c>
      <c r="L511" s="32">
        <v>8.2000000000000003E-2</v>
      </c>
      <c r="M511" s="32">
        <v>3.9E-2</v>
      </c>
      <c r="N511" s="32">
        <v>3.5999999999999997E-2</v>
      </c>
      <c r="O511" s="32">
        <v>2.4E-2</v>
      </c>
      <c r="P511" s="32">
        <v>2.4E-2</v>
      </c>
    </row>
    <row r="512" spans="2:16" x14ac:dyDescent="0.2">
      <c r="B512" s="101"/>
      <c r="C512" s="105"/>
      <c r="D512" s="6" t="s">
        <v>8</v>
      </c>
      <c r="E512" s="7">
        <f>AVERAGE(E507:E511)</f>
        <v>73.025999999999982</v>
      </c>
      <c r="F512" s="7">
        <f>AVERAGE(F507:F511)</f>
        <v>71.238000000000014</v>
      </c>
      <c r="G512" s="35">
        <f>AVERAGE(G507:G511)</f>
        <v>1326.6</v>
      </c>
      <c r="H512" s="34">
        <f>AVERAGE(H507:H511)</f>
        <v>0.43820000000000003</v>
      </c>
      <c r="I512" s="34">
        <f t="shared" ref="I512" si="105">AVERAGE(I507:I511)</f>
        <v>9.9599999999999994E-2</v>
      </c>
      <c r="J512" s="34">
        <f t="shared" ref="J512:P512" si="106">AVERAGE(J507:J511)</f>
        <v>0.15179999999999999</v>
      </c>
      <c r="K512" s="34">
        <f t="shared" si="106"/>
        <v>8.5199999999999998E-2</v>
      </c>
      <c r="L512" s="34">
        <f t="shared" si="106"/>
        <v>0.15719999999999998</v>
      </c>
      <c r="M512" s="34">
        <f t="shared" si="106"/>
        <v>3.9199999999999999E-2</v>
      </c>
      <c r="N512" s="34">
        <f t="shared" si="106"/>
        <v>5.7999999999999996E-2</v>
      </c>
      <c r="O512" s="34">
        <f t="shared" si="106"/>
        <v>2.8799999999999999E-2</v>
      </c>
      <c r="P512" s="34">
        <f t="shared" si="106"/>
        <v>4.5199999999999997E-2</v>
      </c>
    </row>
    <row r="513" spans="2:16" x14ac:dyDescent="0.2">
      <c r="B513" s="104">
        <v>1.2</v>
      </c>
      <c r="C513" s="105"/>
      <c r="D513" s="28">
        <v>13</v>
      </c>
      <c r="E513" s="25">
        <v>72.89</v>
      </c>
      <c r="F513" s="25">
        <v>71.989999999999995</v>
      </c>
      <c r="G513" s="25">
        <v>1213</v>
      </c>
      <c r="H513" s="31">
        <v>0.46800000000000003</v>
      </c>
      <c r="I513" s="36">
        <v>6.9000000000000006E-2</v>
      </c>
      <c r="J513" s="36">
        <v>0.17199999999999999</v>
      </c>
      <c r="K513" s="36">
        <v>8.7999999999999995E-2</v>
      </c>
      <c r="L513" s="36">
        <v>0.19500000000000001</v>
      </c>
      <c r="M513" s="36">
        <v>0.02</v>
      </c>
      <c r="N513" s="36">
        <v>4.7E-2</v>
      </c>
      <c r="O513" s="36">
        <v>2.8000000000000001E-2</v>
      </c>
      <c r="P513" s="36">
        <v>4.9000000000000002E-2</v>
      </c>
    </row>
    <row r="514" spans="2:16" x14ac:dyDescent="0.2">
      <c r="B514" s="105"/>
      <c r="C514" s="105"/>
      <c r="D514" s="29">
        <v>21</v>
      </c>
      <c r="E514" s="4">
        <v>71.33</v>
      </c>
      <c r="F514" s="4">
        <v>73.05</v>
      </c>
      <c r="G514" s="1">
        <v>891</v>
      </c>
      <c r="H514" s="8">
        <v>0.56399999999999995</v>
      </c>
      <c r="I514" s="8">
        <v>0.183</v>
      </c>
      <c r="J514" s="8">
        <v>0.13700000000000001</v>
      </c>
      <c r="K514" s="8">
        <v>0.12</v>
      </c>
      <c r="L514" s="8">
        <v>0.10299999999999999</v>
      </c>
      <c r="M514" s="8">
        <v>3.6999999999999998E-2</v>
      </c>
      <c r="N514" s="8">
        <v>6.4000000000000001E-2</v>
      </c>
      <c r="O514" s="8">
        <v>3.2000000000000001E-2</v>
      </c>
      <c r="P514" s="8">
        <v>4.8000000000000001E-2</v>
      </c>
    </row>
    <row r="515" spans="2:16" x14ac:dyDescent="0.2">
      <c r="B515" s="105"/>
      <c r="C515" s="105"/>
      <c r="D515" s="29">
        <v>47</v>
      </c>
      <c r="E515" s="4">
        <v>71.349999999999994</v>
      </c>
      <c r="F515" s="4">
        <v>72.88</v>
      </c>
      <c r="G515" s="1">
        <v>920</v>
      </c>
      <c r="H515" s="8">
        <v>0.55700000000000005</v>
      </c>
      <c r="I515" s="8">
        <v>0.182</v>
      </c>
      <c r="J515" s="8">
        <v>0.314</v>
      </c>
      <c r="K515" s="8">
        <v>0.151</v>
      </c>
      <c r="L515" s="8">
        <v>0.33</v>
      </c>
      <c r="M515" s="8">
        <v>4.5999999999999999E-2</v>
      </c>
      <c r="N515" s="8">
        <v>0.16600000000000001</v>
      </c>
      <c r="O515" s="8">
        <v>2.8000000000000001E-2</v>
      </c>
      <c r="P515" s="8">
        <v>0.13100000000000001</v>
      </c>
    </row>
    <row r="516" spans="2:16" x14ac:dyDescent="0.2">
      <c r="B516" s="105"/>
      <c r="C516" s="105"/>
      <c r="D516" s="29">
        <v>50</v>
      </c>
      <c r="E516" s="4">
        <v>72.52</v>
      </c>
      <c r="F516" s="4">
        <v>71.930000000000007</v>
      </c>
      <c r="G516" s="1">
        <v>1184</v>
      </c>
      <c r="H516" s="8">
        <v>0.47899999999999998</v>
      </c>
      <c r="I516" s="8">
        <v>7.6999999999999999E-2</v>
      </c>
      <c r="J516" s="8">
        <v>0.156</v>
      </c>
      <c r="K516" s="8">
        <v>0.13</v>
      </c>
      <c r="L516" s="8">
        <v>0.16800000000000001</v>
      </c>
      <c r="M516" s="8">
        <v>2.4E-2</v>
      </c>
      <c r="N516" s="8">
        <v>3.5999999999999997E-2</v>
      </c>
      <c r="O516" s="8">
        <v>1.6E-2</v>
      </c>
      <c r="P516" s="8">
        <v>3.5999999999999997E-2</v>
      </c>
    </row>
    <row r="517" spans="2:16" x14ac:dyDescent="0.2">
      <c r="B517" s="105"/>
      <c r="C517" s="105"/>
      <c r="D517" s="30">
        <v>91</v>
      </c>
      <c r="E517" s="27">
        <v>71.45</v>
      </c>
      <c r="F517" s="27">
        <v>72.569999999999993</v>
      </c>
      <c r="G517" s="26">
        <v>979</v>
      </c>
      <c r="H517" s="32">
        <v>0.54100000000000004</v>
      </c>
      <c r="I517" s="32">
        <v>0.126</v>
      </c>
      <c r="J517" s="32">
        <v>0.08</v>
      </c>
      <c r="K517" s="32">
        <v>0.16600000000000001</v>
      </c>
      <c r="L517" s="32">
        <v>6.0999999999999999E-2</v>
      </c>
      <c r="M517" s="32">
        <v>3.4000000000000002E-2</v>
      </c>
      <c r="N517" s="32">
        <v>2.5999999999999999E-2</v>
      </c>
      <c r="O517" s="32">
        <v>3.1E-2</v>
      </c>
      <c r="P517" s="32">
        <v>2.3E-2</v>
      </c>
    </row>
    <row r="518" spans="2:16" x14ac:dyDescent="0.2">
      <c r="B518" s="106"/>
      <c r="C518" s="105"/>
      <c r="D518" s="6" t="s">
        <v>8</v>
      </c>
      <c r="E518" s="7">
        <f>AVERAGE(E513:E517)</f>
        <v>71.907999999999987</v>
      </c>
      <c r="F518" s="7">
        <f>AVERAGE(F513:F517)</f>
        <v>72.484000000000009</v>
      </c>
      <c r="G518" s="35">
        <f>AVERAGE(G513:G517)</f>
        <v>1037.4000000000001</v>
      </c>
      <c r="H518" s="34">
        <f>AVERAGE(H513:H517)</f>
        <v>0.52180000000000004</v>
      </c>
      <c r="I518" s="34">
        <f t="shared" ref="I518" si="107">AVERAGE(I513:I517)</f>
        <v>0.12740000000000001</v>
      </c>
      <c r="J518" s="34">
        <f t="shared" ref="J518:P518" si="108">AVERAGE(J513:J517)</f>
        <v>0.17180000000000001</v>
      </c>
      <c r="K518" s="34">
        <f t="shared" si="108"/>
        <v>0.13100000000000001</v>
      </c>
      <c r="L518" s="34">
        <f t="shared" si="108"/>
        <v>0.1714</v>
      </c>
      <c r="M518" s="34">
        <f t="shared" si="108"/>
        <v>3.2199999999999999E-2</v>
      </c>
      <c r="N518" s="34">
        <f t="shared" si="108"/>
        <v>6.7799999999999999E-2</v>
      </c>
      <c r="O518" s="34">
        <f>AVERAGE(O513:O517)</f>
        <v>2.7000000000000003E-2</v>
      </c>
      <c r="P518" s="34">
        <f t="shared" si="108"/>
        <v>5.7400000000000007E-2</v>
      </c>
    </row>
    <row r="519" spans="2:16" x14ac:dyDescent="0.2">
      <c r="B519" s="104">
        <v>1.4</v>
      </c>
      <c r="C519" s="105"/>
      <c r="D519" s="28">
        <v>13</v>
      </c>
      <c r="E519" s="25">
        <v>67.86</v>
      </c>
      <c r="F519" s="25">
        <v>72.709999999999994</v>
      </c>
      <c r="G519" s="25">
        <v>575</v>
      </c>
      <c r="H519" s="31">
        <v>0.67700000000000005</v>
      </c>
      <c r="I519" s="36">
        <v>0.25800000000000001</v>
      </c>
      <c r="J519" s="36">
        <v>0.50600000000000001</v>
      </c>
      <c r="K519" s="36">
        <v>0.502</v>
      </c>
      <c r="L519" s="36">
        <v>0.40400000000000003</v>
      </c>
      <c r="M519" s="36">
        <v>0.02</v>
      </c>
      <c r="N519" s="36">
        <v>1.6E-2</v>
      </c>
      <c r="O519" s="36">
        <v>2.1999999999999999E-2</v>
      </c>
      <c r="P519" s="36">
        <v>1.7999999999999999E-2</v>
      </c>
    </row>
    <row r="520" spans="2:16" x14ac:dyDescent="0.2">
      <c r="B520" s="105"/>
      <c r="C520" s="105"/>
      <c r="D520" s="29">
        <v>21</v>
      </c>
      <c r="E520" s="4">
        <v>61.19</v>
      </c>
      <c r="F520" s="4">
        <v>70.52</v>
      </c>
      <c r="G520" s="1">
        <v>287</v>
      </c>
      <c r="H520" s="33">
        <v>0.81599999999999995</v>
      </c>
      <c r="I520" s="8">
        <v>5.1999999999999998E-2</v>
      </c>
      <c r="J520" s="8">
        <v>0.20699999999999999</v>
      </c>
      <c r="K520" s="8">
        <v>1</v>
      </c>
      <c r="L520" s="8">
        <v>0.20499999999999999</v>
      </c>
      <c r="M520" s="8">
        <v>2.5999999999999999E-2</v>
      </c>
      <c r="N520" s="8">
        <v>9.6000000000000002E-2</v>
      </c>
      <c r="O520" s="8">
        <v>0.03</v>
      </c>
      <c r="P520" s="8">
        <v>0.08</v>
      </c>
    </row>
    <row r="521" spans="2:16" x14ac:dyDescent="0.2">
      <c r="B521" s="105"/>
      <c r="C521" s="105"/>
      <c r="D521" s="29">
        <v>47</v>
      </c>
      <c r="E521" s="4">
        <v>63.94</v>
      </c>
      <c r="F521" s="4">
        <v>71.459999999999994</v>
      </c>
      <c r="G521" s="1">
        <v>388</v>
      </c>
      <c r="H521" s="8">
        <v>0.76400000000000001</v>
      </c>
      <c r="I521" s="8">
        <v>1</v>
      </c>
      <c r="J521" s="8">
        <v>1</v>
      </c>
      <c r="K521" s="8">
        <v>0.45600000000000002</v>
      </c>
      <c r="L521" s="8">
        <v>0.66500000000000004</v>
      </c>
      <c r="M521" s="8">
        <v>2.7E-2</v>
      </c>
      <c r="N521" s="8">
        <v>6.0000000000000001E-3</v>
      </c>
      <c r="O521" s="8">
        <v>5.0999999999999997E-2</v>
      </c>
      <c r="P521" s="8">
        <v>0.03</v>
      </c>
    </row>
    <row r="522" spans="2:16" x14ac:dyDescent="0.2">
      <c r="B522" s="105"/>
      <c r="C522" s="105"/>
      <c r="D522" s="29">
        <v>50</v>
      </c>
      <c r="E522" s="4">
        <v>68.2</v>
      </c>
      <c r="F522" s="4">
        <v>73</v>
      </c>
      <c r="G522" s="1">
        <v>561</v>
      </c>
      <c r="H522" s="8">
        <v>0.67800000000000005</v>
      </c>
      <c r="I522" s="8">
        <v>0.29499999999999998</v>
      </c>
      <c r="J522" s="8">
        <v>0.29099999999999998</v>
      </c>
      <c r="K522" s="8">
        <v>0.224</v>
      </c>
      <c r="L522" s="8">
        <v>0.22</v>
      </c>
      <c r="M522" s="8">
        <v>0.02</v>
      </c>
      <c r="N522" s="8">
        <v>1.0999999999999999E-2</v>
      </c>
      <c r="O522" s="8">
        <v>3.2000000000000001E-2</v>
      </c>
      <c r="P522" s="8">
        <v>1.7999999999999999E-2</v>
      </c>
    </row>
    <row r="523" spans="2:16" x14ac:dyDescent="0.2">
      <c r="B523" s="105"/>
      <c r="C523" s="105"/>
      <c r="D523" s="30">
        <v>91</v>
      </c>
      <c r="E523" s="27">
        <v>62.84</v>
      </c>
      <c r="F523" s="27">
        <v>71.11</v>
      </c>
      <c r="G523" s="26">
        <v>341</v>
      </c>
      <c r="H523" s="32">
        <v>0.78600000000000003</v>
      </c>
      <c r="I523" s="32">
        <v>1</v>
      </c>
      <c r="J523" s="32">
        <v>0.20100000000000001</v>
      </c>
      <c r="K523" s="32">
        <v>0.97599999999999998</v>
      </c>
      <c r="L523" s="32">
        <v>0.184</v>
      </c>
      <c r="M523" s="32">
        <v>3.2000000000000001E-2</v>
      </c>
      <c r="N523" s="32">
        <v>0.114</v>
      </c>
      <c r="O523" s="32">
        <v>2.8000000000000001E-2</v>
      </c>
      <c r="P523" s="32">
        <v>9.6000000000000002E-2</v>
      </c>
    </row>
    <row r="524" spans="2:16" x14ac:dyDescent="0.2">
      <c r="B524" s="106"/>
      <c r="C524" s="106"/>
      <c r="D524" s="6" t="s">
        <v>8</v>
      </c>
      <c r="E524" s="7">
        <f>AVERAGE(E519:E523)</f>
        <v>64.805999999999997</v>
      </c>
      <c r="F524" s="7">
        <f>AVERAGE(F519:F523)</f>
        <v>71.760000000000005</v>
      </c>
      <c r="G524" s="35">
        <f>AVERAGE(G519:G523)</f>
        <v>430.4</v>
      </c>
      <c r="H524" s="34">
        <f>AVERAGE(H519:H523)</f>
        <v>0.74419999999999997</v>
      </c>
      <c r="I524" s="34">
        <f t="shared" ref="I524" si="109">AVERAGE(I519:I523)</f>
        <v>0.52100000000000002</v>
      </c>
      <c r="J524" s="34">
        <f t="shared" ref="J524:P524" si="110">AVERAGE(J519:J523)</f>
        <v>0.441</v>
      </c>
      <c r="K524" s="34">
        <f t="shared" si="110"/>
        <v>0.63159999999999994</v>
      </c>
      <c r="L524" s="34">
        <f t="shared" si="110"/>
        <v>0.33560000000000001</v>
      </c>
      <c r="M524" s="34">
        <f t="shared" si="110"/>
        <v>2.5000000000000001E-2</v>
      </c>
      <c r="N524" s="34">
        <f t="shared" si="110"/>
        <v>4.8599999999999997E-2</v>
      </c>
      <c r="O524" s="34">
        <f t="shared" si="110"/>
        <v>3.2600000000000004E-2</v>
      </c>
      <c r="P524" s="34">
        <f t="shared" si="110"/>
        <v>4.8399999999999999E-2</v>
      </c>
    </row>
  </sheetData>
  <mergeCells count="216">
    <mergeCell ref="K445:L445"/>
    <mergeCell ref="C487:H487"/>
    <mergeCell ref="I487:J487"/>
    <mergeCell ref="K487:L487"/>
    <mergeCell ref="I357:L357"/>
    <mergeCell ref="M357:P357"/>
    <mergeCell ref="Q357:T357"/>
    <mergeCell ref="U357:X357"/>
    <mergeCell ref="Y357:AB357"/>
    <mergeCell ref="I445:J445"/>
    <mergeCell ref="I444:L444"/>
    <mergeCell ref="M444:P444"/>
    <mergeCell ref="M445:N445"/>
    <mergeCell ref="O445:P445"/>
    <mergeCell ref="M487:N487"/>
    <mergeCell ref="O487:P487"/>
    <mergeCell ref="I486:L486"/>
    <mergeCell ref="M486:P486"/>
    <mergeCell ref="AC357:AF357"/>
    <mergeCell ref="AG357:AJ357"/>
    <mergeCell ref="B399:B400"/>
    <mergeCell ref="C399:H399"/>
    <mergeCell ref="B357:B358"/>
    <mergeCell ref="C357:H357"/>
    <mergeCell ref="B359:B364"/>
    <mergeCell ref="B365:B370"/>
    <mergeCell ref="I399:L399"/>
    <mergeCell ref="M399:P399"/>
    <mergeCell ref="Q399:T399"/>
    <mergeCell ref="U399:X399"/>
    <mergeCell ref="Y399:AB399"/>
    <mergeCell ref="AC399:AF399"/>
    <mergeCell ref="AG399:AJ399"/>
    <mergeCell ref="B401:B406"/>
    <mergeCell ref="C401:C418"/>
    <mergeCell ref="B407:B412"/>
    <mergeCell ref="B413:B418"/>
    <mergeCell ref="B419:B424"/>
    <mergeCell ref="C419:C436"/>
    <mergeCell ref="B425:B430"/>
    <mergeCell ref="B431:B436"/>
    <mergeCell ref="B371:B376"/>
    <mergeCell ref="B377:B382"/>
    <mergeCell ref="B383:B388"/>
    <mergeCell ref="B389:B394"/>
    <mergeCell ref="C359:C376"/>
    <mergeCell ref="C377:C394"/>
    <mergeCell ref="B338:G338"/>
    <mergeCell ref="H338:M338"/>
    <mergeCell ref="N338:S338"/>
    <mergeCell ref="B340:B345"/>
    <mergeCell ref="H340:H345"/>
    <mergeCell ref="N340:N345"/>
    <mergeCell ref="B346:B351"/>
    <mergeCell ref="H346:H351"/>
    <mergeCell ref="N346:N351"/>
    <mergeCell ref="A297:A298"/>
    <mergeCell ref="B297:G297"/>
    <mergeCell ref="H297:M297"/>
    <mergeCell ref="N297:S297"/>
    <mergeCell ref="A299:A304"/>
    <mergeCell ref="B299:B334"/>
    <mergeCell ref="H299:H334"/>
    <mergeCell ref="N299:N334"/>
    <mergeCell ref="A305:A310"/>
    <mergeCell ref="A311:A316"/>
    <mergeCell ref="A317:A322"/>
    <mergeCell ref="A323:A328"/>
    <mergeCell ref="A329:A334"/>
    <mergeCell ref="A257:A258"/>
    <mergeCell ref="B257:G257"/>
    <mergeCell ref="H257:M257"/>
    <mergeCell ref="N257:S257"/>
    <mergeCell ref="A259:A264"/>
    <mergeCell ref="B259:B294"/>
    <mergeCell ref="H259:H294"/>
    <mergeCell ref="N259:N294"/>
    <mergeCell ref="A265:A270"/>
    <mergeCell ref="A271:A276"/>
    <mergeCell ref="A277:A282"/>
    <mergeCell ref="A283:A288"/>
    <mergeCell ref="A289:A294"/>
    <mergeCell ref="B241:G241"/>
    <mergeCell ref="H241:M241"/>
    <mergeCell ref="N241:S241"/>
    <mergeCell ref="B243:B248"/>
    <mergeCell ref="H243:H248"/>
    <mergeCell ref="N243:N248"/>
    <mergeCell ref="B249:B254"/>
    <mergeCell ref="H249:H254"/>
    <mergeCell ref="N249:N254"/>
    <mergeCell ref="A200:A201"/>
    <mergeCell ref="B200:G200"/>
    <mergeCell ref="H200:M200"/>
    <mergeCell ref="N200:S200"/>
    <mergeCell ref="A202:A207"/>
    <mergeCell ref="B202:B237"/>
    <mergeCell ref="H202:H237"/>
    <mergeCell ref="N202:N237"/>
    <mergeCell ref="A208:A213"/>
    <mergeCell ref="A214:A219"/>
    <mergeCell ref="A220:A225"/>
    <mergeCell ref="A226:A231"/>
    <mergeCell ref="A232:A237"/>
    <mergeCell ref="N160:S160"/>
    <mergeCell ref="H162:H197"/>
    <mergeCell ref="N162:N197"/>
    <mergeCell ref="A186:A191"/>
    <mergeCell ref="A192:A197"/>
    <mergeCell ref="B162:B197"/>
    <mergeCell ref="A180:A185"/>
    <mergeCell ref="A160:A161"/>
    <mergeCell ref="A162:A167"/>
    <mergeCell ref="B160:G160"/>
    <mergeCell ref="H160:M160"/>
    <mergeCell ref="A168:A173"/>
    <mergeCell ref="A174:A179"/>
    <mergeCell ref="F98:F103"/>
    <mergeCell ref="F104:F109"/>
    <mergeCell ref="F23:F28"/>
    <mergeCell ref="A5:A10"/>
    <mergeCell ref="A11:A16"/>
    <mergeCell ref="A17:A22"/>
    <mergeCell ref="A23:A28"/>
    <mergeCell ref="A68:E68"/>
    <mergeCell ref="F68:J68"/>
    <mergeCell ref="A3:E3"/>
    <mergeCell ref="F3:J3"/>
    <mergeCell ref="F5:F10"/>
    <mergeCell ref="F11:F16"/>
    <mergeCell ref="F17:F22"/>
    <mergeCell ref="K3:O3"/>
    <mergeCell ref="K5:K10"/>
    <mergeCell ref="K11:K16"/>
    <mergeCell ref="K17:K22"/>
    <mergeCell ref="K23:K28"/>
    <mergeCell ref="M23:O27"/>
    <mergeCell ref="A39:E39"/>
    <mergeCell ref="F39:J39"/>
    <mergeCell ref="K39:O39"/>
    <mergeCell ref="A41:A46"/>
    <mergeCell ref="F41:F46"/>
    <mergeCell ref="K41:K46"/>
    <mergeCell ref="A59:A64"/>
    <mergeCell ref="F59:F64"/>
    <mergeCell ref="K59:K64"/>
    <mergeCell ref="M59:O63"/>
    <mergeCell ref="A47:A52"/>
    <mergeCell ref="F47:F52"/>
    <mergeCell ref="K47:K52"/>
    <mergeCell ref="A53:A58"/>
    <mergeCell ref="F53:F58"/>
    <mergeCell ref="K53:K58"/>
    <mergeCell ref="K68:O68"/>
    <mergeCell ref="A70:A75"/>
    <mergeCell ref="F70:F75"/>
    <mergeCell ref="K70:K75"/>
    <mergeCell ref="M88:O92"/>
    <mergeCell ref="A76:A81"/>
    <mergeCell ref="F76:F81"/>
    <mergeCell ref="K76:K81"/>
    <mergeCell ref="A82:A87"/>
    <mergeCell ref="F82:F87"/>
    <mergeCell ref="K82:K87"/>
    <mergeCell ref="I126:L126"/>
    <mergeCell ref="I128:I133"/>
    <mergeCell ref="I134:I139"/>
    <mergeCell ref="A128:A133"/>
    <mergeCell ref="A88:A93"/>
    <mergeCell ref="F88:F93"/>
    <mergeCell ref="K88:K93"/>
    <mergeCell ref="A116:A121"/>
    <mergeCell ref="F116:F121"/>
    <mergeCell ref="K96:O96"/>
    <mergeCell ref="K98:K103"/>
    <mergeCell ref="K104:K109"/>
    <mergeCell ref="A110:A115"/>
    <mergeCell ref="F110:F115"/>
    <mergeCell ref="K110:K115"/>
    <mergeCell ref="A96:E96"/>
    <mergeCell ref="A134:A139"/>
    <mergeCell ref="A126:D126"/>
    <mergeCell ref="E126:H126"/>
    <mergeCell ref="E128:E133"/>
    <mergeCell ref="E134:E139"/>
    <mergeCell ref="A98:A103"/>
    <mergeCell ref="A104:A109"/>
    <mergeCell ref="F96:J96"/>
    <mergeCell ref="A151:A156"/>
    <mergeCell ref="E151:E156"/>
    <mergeCell ref="I151:I156"/>
    <mergeCell ref="A143:D143"/>
    <mergeCell ref="E143:H143"/>
    <mergeCell ref="I143:L143"/>
    <mergeCell ref="A145:A150"/>
    <mergeCell ref="E145:E150"/>
    <mergeCell ref="I145:I150"/>
    <mergeCell ref="B445:B446"/>
    <mergeCell ref="B447:B452"/>
    <mergeCell ref="C447:C464"/>
    <mergeCell ref="B453:B458"/>
    <mergeCell ref="B459:B464"/>
    <mergeCell ref="B465:B470"/>
    <mergeCell ref="C465:C482"/>
    <mergeCell ref="B471:B476"/>
    <mergeCell ref="B477:B482"/>
    <mergeCell ref="C445:H445"/>
    <mergeCell ref="B487:B488"/>
    <mergeCell ref="B489:B494"/>
    <mergeCell ref="C489:C506"/>
    <mergeCell ref="B495:B500"/>
    <mergeCell ref="B501:B506"/>
    <mergeCell ref="B507:B512"/>
    <mergeCell ref="C507:C524"/>
    <mergeCell ref="B513:B518"/>
    <mergeCell ref="B519:B5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58F2-3394-4218-9754-19490EF46F3A}">
  <dimension ref="A2:AJ94"/>
  <sheetViews>
    <sheetView topLeftCell="B1" workbookViewId="0">
      <selection activeCell="Q72" sqref="Q72:T72"/>
    </sheetView>
  </sheetViews>
  <sheetFormatPr baseColWidth="10" defaultColWidth="8.83203125" defaultRowHeight="15" x14ac:dyDescent="0.2"/>
  <sheetData>
    <row r="2" spans="1:36" x14ac:dyDescent="0.2">
      <c r="A2" t="s">
        <v>47</v>
      </c>
    </row>
    <row r="4" spans="1:36" x14ac:dyDescent="0.2">
      <c r="B4" s="100" t="s">
        <v>48</v>
      </c>
      <c r="C4" s="107" t="s">
        <v>0</v>
      </c>
      <c r="D4" s="108"/>
      <c r="E4" s="108"/>
      <c r="F4" s="108"/>
      <c r="G4" s="108"/>
      <c r="H4" s="111"/>
      <c r="I4" s="107" t="s">
        <v>30</v>
      </c>
      <c r="J4" s="108"/>
      <c r="K4" s="108"/>
      <c r="L4" s="108"/>
      <c r="M4" s="107" t="s">
        <v>31</v>
      </c>
      <c r="N4" s="108"/>
      <c r="O4" s="108"/>
      <c r="P4" s="108"/>
      <c r="Q4" s="107" t="s">
        <v>32</v>
      </c>
      <c r="R4" s="108"/>
      <c r="S4" s="108"/>
      <c r="T4" s="108"/>
      <c r="U4" s="107" t="s">
        <v>33</v>
      </c>
      <c r="V4" s="108"/>
      <c r="W4" s="108"/>
      <c r="X4" s="108"/>
      <c r="Y4" s="107" t="s">
        <v>34</v>
      </c>
      <c r="Z4" s="108"/>
      <c r="AA4" s="108"/>
      <c r="AB4" s="108"/>
      <c r="AC4" s="107" t="s">
        <v>35</v>
      </c>
      <c r="AD4" s="108"/>
      <c r="AE4" s="108"/>
      <c r="AF4" s="108"/>
      <c r="AG4" s="107" t="s">
        <v>36</v>
      </c>
      <c r="AH4" s="108"/>
      <c r="AI4" s="108"/>
      <c r="AJ4" s="108"/>
    </row>
    <row r="5" spans="1:36" x14ac:dyDescent="0.2">
      <c r="B5" s="101"/>
      <c r="C5" s="19" t="s">
        <v>3</v>
      </c>
      <c r="D5" s="1" t="s">
        <v>4</v>
      </c>
      <c r="E5" s="1" t="s">
        <v>6</v>
      </c>
      <c r="F5" s="2" t="s">
        <v>7</v>
      </c>
      <c r="G5" s="1" t="s">
        <v>24</v>
      </c>
      <c r="H5" s="8" t="s">
        <v>25</v>
      </c>
      <c r="I5" s="1" t="s">
        <v>6</v>
      </c>
      <c r="J5" s="2" t="s">
        <v>7</v>
      </c>
      <c r="K5" s="1" t="s">
        <v>24</v>
      </c>
      <c r="L5" s="8" t="s">
        <v>25</v>
      </c>
      <c r="M5" s="1" t="s">
        <v>6</v>
      </c>
      <c r="N5" s="2" t="s">
        <v>7</v>
      </c>
      <c r="O5" s="1" t="s">
        <v>24</v>
      </c>
      <c r="P5" s="8" t="s">
        <v>25</v>
      </c>
      <c r="Q5" s="1" t="s">
        <v>6</v>
      </c>
      <c r="R5" s="2" t="s">
        <v>7</v>
      </c>
      <c r="S5" s="1" t="s">
        <v>24</v>
      </c>
      <c r="T5" s="8" t="s">
        <v>25</v>
      </c>
      <c r="U5" s="1" t="s">
        <v>6</v>
      </c>
      <c r="V5" s="2" t="s">
        <v>7</v>
      </c>
      <c r="W5" s="1" t="s">
        <v>24</v>
      </c>
      <c r="X5" s="8" t="s">
        <v>25</v>
      </c>
      <c r="Y5" s="1" t="s">
        <v>6</v>
      </c>
      <c r="Z5" s="2" t="s">
        <v>7</v>
      </c>
      <c r="AA5" s="1" t="s">
        <v>24</v>
      </c>
      <c r="AB5" s="8" t="s">
        <v>25</v>
      </c>
      <c r="AC5" s="1" t="s">
        <v>6</v>
      </c>
      <c r="AD5" s="2" t="s">
        <v>7</v>
      </c>
      <c r="AE5" s="1" t="s">
        <v>24</v>
      </c>
      <c r="AF5" s="8" t="s">
        <v>25</v>
      </c>
      <c r="AG5" s="1" t="s">
        <v>6</v>
      </c>
      <c r="AH5" s="2" t="s">
        <v>7</v>
      </c>
      <c r="AI5" s="1" t="s">
        <v>24</v>
      </c>
      <c r="AJ5" s="8" t="s">
        <v>25</v>
      </c>
    </row>
    <row r="6" spans="1:36" x14ac:dyDescent="0.2">
      <c r="B6" s="102">
        <v>0</v>
      </c>
      <c r="C6" s="104">
        <v>8</v>
      </c>
      <c r="D6" s="28">
        <v>13</v>
      </c>
      <c r="E6" s="25">
        <v>72.11</v>
      </c>
      <c r="F6" s="1">
        <v>71.430000000000007</v>
      </c>
      <c r="G6" s="25">
        <v>1375</v>
      </c>
      <c r="H6" s="36">
        <v>0.49</v>
      </c>
      <c r="I6" s="25">
        <v>51.42</v>
      </c>
      <c r="J6" s="1">
        <v>0.21</v>
      </c>
      <c r="K6" s="25">
        <v>4856</v>
      </c>
      <c r="L6" s="36">
        <v>1E-3</v>
      </c>
      <c r="M6" s="25">
        <v>71.319999999999993</v>
      </c>
      <c r="N6" s="1">
        <v>72.95</v>
      </c>
      <c r="O6" s="25">
        <v>994</v>
      </c>
      <c r="P6" s="36">
        <v>0.57399999999999995</v>
      </c>
      <c r="Q6" s="25">
        <v>72.12</v>
      </c>
      <c r="R6" s="1">
        <v>71</v>
      </c>
      <c r="S6" s="25">
        <v>1448</v>
      </c>
      <c r="T6" s="36">
        <v>0.47499999999999998</v>
      </c>
      <c r="U6" s="25">
        <v>72.03</v>
      </c>
      <c r="V6" s="1">
        <v>71.55</v>
      </c>
      <c r="W6" s="25">
        <v>1344</v>
      </c>
      <c r="X6" s="36">
        <v>0.497</v>
      </c>
      <c r="Y6" s="25">
        <v>72.010000000000005</v>
      </c>
      <c r="Z6" s="1">
        <v>71.37</v>
      </c>
      <c r="AA6" s="25">
        <v>1372</v>
      </c>
      <c r="AB6" s="36">
        <v>0.49199999999999999</v>
      </c>
      <c r="AC6" s="25">
        <v>72.099999999999994</v>
      </c>
      <c r="AD6" s="1">
        <v>71.400000000000006</v>
      </c>
      <c r="AE6" s="25">
        <v>1378</v>
      </c>
      <c r="AF6" s="36">
        <v>0.49</v>
      </c>
      <c r="AG6" s="25">
        <v>72.069999999999993</v>
      </c>
      <c r="AH6" s="1">
        <v>71.400000000000006</v>
      </c>
      <c r="AI6" s="25">
        <v>1375</v>
      </c>
      <c r="AJ6" s="36">
        <v>0.49</v>
      </c>
    </row>
    <row r="7" spans="1:36" x14ac:dyDescent="0.2">
      <c r="B7" s="103"/>
      <c r="C7" s="105"/>
      <c r="D7" s="29">
        <v>21</v>
      </c>
      <c r="E7" s="4">
        <v>69.900000000000006</v>
      </c>
      <c r="F7" s="4">
        <v>71.55</v>
      </c>
      <c r="G7" s="1">
        <v>1076</v>
      </c>
      <c r="H7" s="8">
        <v>0.57199999999999995</v>
      </c>
      <c r="I7" s="4">
        <v>68.099999999999994</v>
      </c>
      <c r="J7" s="4">
        <v>67.739999999999995</v>
      </c>
      <c r="K7" s="1">
        <v>1512</v>
      </c>
      <c r="L7" s="8">
        <v>0.503</v>
      </c>
      <c r="M7" s="4">
        <v>69.58</v>
      </c>
      <c r="N7" s="4">
        <v>70.400000000000006</v>
      </c>
      <c r="O7" s="1">
        <v>1244</v>
      </c>
      <c r="P7" s="8">
        <v>0.54200000000000004</v>
      </c>
      <c r="Q7" s="4">
        <v>69.84</v>
      </c>
      <c r="R7" s="4">
        <v>71.38</v>
      </c>
      <c r="S7" s="1">
        <v>1100</v>
      </c>
      <c r="T7" s="8">
        <v>0.56799999999999995</v>
      </c>
      <c r="U7" s="4">
        <v>69.86</v>
      </c>
      <c r="V7" s="4">
        <v>71.45</v>
      </c>
      <c r="W7" s="1">
        <v>1089</v>
      </c>
      <c r="X7" s="8">
        <v>0.56999999999999995</v>
      </c>
      <c r="Y7" s="4">
        <v>69.87</v>
      </c>
      <c r="Z7" s="4">
        <v>71.540000000000006</v>
      </c>
      <c r="AA7" s="1">
        <v>1074</v>
      </c>
      <c r="AB7" s="8">
        <v>0.57299999999999995</v>
      </c>
      <c r="AC7" s="4">
        <v>69.86</v>
      </c>
      <c r="AD7" s="4">
        <v>71.52</v>
      </c>
      <c r="AE7" s="1">
        <v>1076</v>
      </c>
      <c r="AF7" s="8">
        <v>0.57199999999999995</v>
      </c>
      <c r="AG7" s="4">
        <v>69.900000000000006</v>
      </c>
      <c r="AH7" s="4">
        <v>71.55</v>
      </c>
      <c r="AI7" s="1">
        <v>1076</v>
      </c>
      <c r="AJ7" s="8">
        <v>0.57199999999999995</v>
      </c>
    </row>
    <row r="8" spans="1:36" x14ac:dyDescent="0.2">
      <c r="B8" s="103"/>
      <c r="C8" s="105"/>
      <c r="D8" s="29">
        <v>47</v>
      </c>
      <c r="E8" s="4">
        <v>72.14</v>
      </c>
      <c r="F8" s="4">
        <v>70.69</v>
      </c>
      <c r="G8" s="1">
        <v>1501</v>
      </c>
      <c r="H8" s="8">
        <v>0.46500000000000002</v>
      </c>
      <c r="I8" s="4">
        <v>53.47</v>
      </c>
      <c r="J8" s="4">
        <v>8.85</v>
      </c>
      <c r="K8" s="1">
        <v>4635</v>
      </c>
      <c r="L8" s="8">
        <v>2.4E-2</v>
      </c>
      <c r="M8" s="4">
        <v>72.099999999999994</v>
      </c>
      <c r="N8" s="4">
        <v>71.61</v>
      </c>
      <c r="O8" s="1">
        <v>1343</v>
      </c>
      <c r="P8" s="8">
        <v>0.497</v>
      </c>
      <c r="Q8" s="4">
        <v>71.92</v>
      </c>
      <c r="R8" s="4">
        <v>69.7</v>
      </c>
      <c r="S8" s="1">
        <v>1631</v>
      </c>
      <c r="T8" s="8">
        <v>0.441</v>
      </c>
      <c r="U8" s="4">
        <v>72.11</v>
      </c>
      <c r="V8" s="4">
        <v>70.41</v>
      </c>
      <c r="W8" s="1">
        <v>1542</v>
      </c>
      <c r="X8" s="8">
        <v>0.45700000000000002</v>
      </c>
      <c r="Y8" s="4">
        <v>72.17</v>
      </c>
      <c r="Z8" s="4">
        <v>70.73</v>
      </c>
      <c r="AA8" s="1">
        <v>1498</v>
      </c>
      <c r="AB8" s="8">
        <v>0.46500000000000002</v>
      </c>
      <c r="AC8" s="4">
        <v>72.14</v>
      </c>
      <c r="AD8" s="4">
        <v>70.69</v>
      </c>
      <c r="AE8" s="1">
        <v>1501</v>
      </c>
      <c r="AF8" s="8">
        <v>0.46500000000000002</v>
      </c>
      <c r="AG8" s="4">
        <v>72.13</v>
      </c>
      <c r="AH8" s="4">
        <v>70.680000000000007</v>
      </c>
      <c r="AI8" s="1">
        <v>1502</v>
      </c>
      <c r="AJ8" s="8">
        <v>0.46400000000000002</v>
      </c>
    </row>
    <row r="9" spans="1:36" x14ac:dyDescent="0.2">
      <c r="B9" s="103"/>
      <c r="C9" s="105"/>
      <c r="D9" s="29">
        <v>50</v>
      </c>
      <c r="E9" s="4">
        <v>72.180000000000007</v>
      </c>
      <c r="F9" s="4">
        <v>71.44</v>
      </c>
      <c r="G9" s="1">
        <v>1381</v>
      </c>
      <c r="H9" s="8">
        <v>0.48799999999999999</v>
      </c>
      <c r="I9" s="4">
        <v>59.12</v>
      </c>
      <c r="J9" s="4">
        <v>30.9</v>
      </c>
      <c r="K9" s="1">
        <v>3947</v>
      </c>
      <c r="L9" s="8">
        <v>0.106</v>
      </c>
      <c r="M9" s="4">
        <v>71.33</v>
      </c>
      <c r="N9" s="4">
        <v>70.930000000000007</v>
      </c>
      <c r="O9" s="1">
        <v>1363</v>
      </c>
      <c r="P9" s="8">
        <v>0.5</v>
      </c>
      <c r="Q9" s="4">
        <v>72.02</v>
      </c>
      <c r="R9" s="4">
        <v>69.72</v>
      </c>
      <c r="S9" s="1">
        <v>1640</v>
      </c>
      <c r="T9" s="8">
        <v>0.438</v>
      </c>
      <c r="U9" s="4">
        <v>72.22</v>
      </c>
      <c r="V9" s="4">
        <v>71.61</v>
      </c>
      <c r="W9" s="1">
        <v>1357</v>
      </c>
      <c r="X9" s="8">
        <v>0.49299999999999999</v>
      </c>
      <c r="Y9" s="4">
        <v>72.17</v>
      </c>
      <c r="Z9" s="4">
        <v>71.44</v>
      </c>
      <c r="AA9" s="1">
        <v>1381</v>
      </c>
      <c r="AB9" s="8">
        <v>0.48799999999999999</v>
      </c>
      <c r="AC9" s="4">
        <v>72.19</v>
      </c>
      <c r="AD9" s="4">
        <v>71.459999999999994</v>
      </c>
      <c r="AE9" s="1">
        <v>1380</v>
      </c>
      <c r="AF9" s="8">
        <v>0.48799999999999999</v>
      </c>
      <c r="AG9" s="4">
        <v>72.180000000000007</v>
      </c>
      <c r="AH9" s="4">
        <v>71.44</v>
      </c>
      <c r="AI9" s="1">
        <v>1381</v>
      </c>
      <c r="AJ9" s="8">
        <v>0.48799999999999999</v>
      </c>
    </row>
    <row r="10" spans="1:36" x14ac:dyDescent="0.2">
      <c r="B10" s="103"/>
      <c r="C10" s="105"/>
      <c r="D10" s="30">
        <v>91</v>
      </c>
      <c r="E10" s="27">
        <v>72.05</v>
      </c>
      <c r="F10" s="27">
        <v>70.89</v>
      </c>
      <c r="G10" s="26">
        <v>1458</v>
      </c>
      <c r="H10" s="32">
        <v>0.47399999999999998</v>
      </c>
      <c r="I10" s="27">
        <v>61.37</v>
      </c>
      <c r="J10" s="27">
        <v>39.950000000000003</v>
      </c>
      <c r="K10" s="26">
        <v>3576</v>
      </c>
      <c r="L10" s="32">
        <v>0.157</v>
      </c>
      <c r="M10" s="27">
        <v>70.05</v>
      </c>
      <c r="N10" s="27">
        <v>65.209999999999994</v>
      </c>
      <c r="O10" s="26">
        <v>2054</v>
      </c>
      <c r="P10" s="32">
        <v>0.375</v>
      </c>
      <c r="Q10" s="27">
        <v>72.010000000000005</v>
      </c>
      <c r="R10" s="27">
        <v>71.290000000000006</v>
      </c>
      <c r="S10" s="26">
        <v>1386</v>
      </c>
      <c r="T10" s="32">
        <v>0.48899999999999999</v>
      </c>
      <c r="U10" s="27">
        <v>72.06</v>
      </c>
      <c r="V10" s="27">
        <v>70.959999999999994</v>
      </c>
      <c r="W10" s="26">
        <v>1448</v>
      </c>
      <c r="X10" s="32">
        <v>0.47599999999999998</v>
      </c>
      <c r="Y10" s="27">
        <v>72.05</v>
      </c>
      <c r="Z10" s="27">
        <v>70.790000000000006</v>
      </c>
      <c r="AA10" s="26">
        <v>1474</v>
      </c>
      <c r="AB10" s="32">
        <v>0.47099999999999997</v>
      </c>
      <c r="AC10" s="27">
        <v>72.08</v>
      </c>
      <c r="AD10" s="27">
        <v>70.92</v>
      </c>
      <c r="AE10" s="26">
        <v>1456</v>
      </c>
      <c r="AF10" s="32">
        <v>0.47399999999999998</v>
      </c>
      <c r="AG10" s="27">
        <v>72.06</v>
      </c>
      <c r="AH10" s="27">
        <v>70.92</v>
      </c>
      <c r="AI10" s="26">
        <v>1458</v>
      </c>
      <c r="AJ10" s="32">
        <v>0.47399999999999998</v>
      </c>
    </row>
    <row r="11" spans="1:36" x14ac:dyDescent="0.2">
      <c r="B11" s="101"/>
      <c r="C11" s="105"/>
      <c r="D11" s="6" t="s">
        <v>8</v>
      </c>
      <c r="E11" s="7">
        <f t="shared" ref="E11:AJ11" si="0">AVERAGE(E6:E10)</f>
        <v>71.676000000000002</v>
      </c>
      <c r="F11" s="7">
        <f t="shared" si="0"/>
        <v>71.2</v>
      </c>
      <c r="G11" s="35">
        <f t="shared" si="0"/>
        <v>1358.2</v>
      </c>
      <c r="H11" s="34">
        <f t="shared" si="0"/>
        <v>0.49779999999999996</v>
      </c>
      <c r="I11" s="7">
        <f t="shared" si="0"/>
        <v>58.696000000000005</v>
      </c>
      <c r="J11" s="7">
        <f t="shared" si="0"/>
        <v>29.529999999999994</v>
      </c>
      <c r="K11" s="35">
        <f t="shared" si="0"/>
        <v>3705.2</v>
      </c>
      <c r="L11" s="34">
        <f t="shared" si="0"/>
        <v>0.15820000000000001</v>
      </c>
      <c r="M11" s="7">
        <f t="shared" si="0"/>
        <v>70.876000000000005</v>
      </c>
      <c r="N11" s="7">
        <f t="shared" si="0"/>
        <v>70.22</v>
      </c>
      <c r="O11" s="35">
        <f t="shared" si="0"/>
        <v>1399.6</v>
      </c>
      <c r="P11" s="34">
        <f t="shared" si="0"/>
        <v>0.49759999999999999</v>
      </c>
      <c r="Q11" s="7">
        <f t="shared" si="0"/>
        <v>71.581999999999994</v>
      </c>
      <c r="R11" s="7">
        <f t="shared" si="0"/>
        <v>70.617999999999995</v>
      </c>
      <c r="S11" s="35">
        <f t="shared" si="0"/>
        <v>1441</v>
      </c>
      <c r="T11" s="34">
        <f t="shared" si="0"/>
        <v>0.48220000000000002</v>
      </c>
      <c r="U11" s="7">
        <f t="shared" si="0"/>
        <v>71.656000000000006</v>
      </c>
      <c r="V11" s="7">
        <f t="shared" si="0"/>
        <v>71.195999999999998</v>
      </c>
      <c r="W11" s="35">
        <f t="shared" si="0"/>
        <v>1356</v>
      </c>
      <c r="X11" s="34">
        <f t="shared" si="0"/>
        <v>0.49859999999999999</v>
      </c>
      <c r="Y11" s="7">
        <f t="shared" si="0"/>
        <v>71.654000000000011</v>
      </c>
      <c r="Z11" s="7">
        <f t="shared" si="0"/>
        <v>71.174000000000007</v>
      </c>
      <c r="AA11" s="35">
        <f t="shared" si="0"/>
        <v>1359.8</v>
      </c>
      <c r="AB11" s="34">
        <f t="shared" si="0"/>
        <v>0.49779999999999996</v>
      </c>
      <c r="AC11" s="7">
        <f t="shared" si="0"/>
        <v>71.673999999999992</v>
      </c>
      <c r="AD11" s="7">
        <f t="shared" si="0"/>
        <v>71.198000000000008</v>
      </c>
      <c r="AE11" s="35">
        <f t="shared" si="0"/>
        <v>1358.2</v>
      </c>
      <c r="AF11" s="34">
        <f t="shared" si="0"/>
        <v>0.49779999999999996</v>
      </c>
      <c r="AG11" s="7">
        <f t="shared" si="0"/>
        <v>71.667999999999992</v>
      </c>
      <c r="AH11" s="7">
        <f t="shared" si="0"/>
        <v>71.198000000000008</v>
      </c>
      <c r="AI11" s="35">
        <f t="shared" si="0"/>
        <v>1358.4</v>
      </c>
      <c r="AJ11" s="34">
        <f t="shared" si="0"/>
        <v>0.49759999999999993</v>
      </c>
    </row>
    <row r="12" spans="1:36" x14ac:dyDescent="0.2">
      <c r="B12" s="104">
        <v>0.2</v>
      </c>
      <c r="C12" s="105"/>
      <c r="D12" s="28">
        <v>13</v>
      </c>
      <c r="E12" s="62"/>
      <c r="F12" s="62"/>
      <c r="G12" s="63"/>
      <c r="H12" s="81"/>
      <c r="I12" s="4">
        <v>49.51</v>
      </c>
      <c r="J12" s="4"/>
      <c r="K12" s="82">
        <v>3789.9</v>
      </c>
      <c r="L12" s="33">
        <v>0.23</v>
      </c>
      <c r="M12" s="4">
        <v>65.56</v>
      </c>
      <c r="N12" s="4">
        <v>71.33</v>
      </c>
      <c r="O12" s="82">
        <v>594.29999999999995</v>
      </c>
      <c r="P12" s="33">
        <v>0.71</v>
      </c>
      <c r="Q12" s="4">
        <v>69.73</v>
      </c>
      <c r="R12" s="4">
        <v>72.680000000000007</v>
      </c>
      <c r="S12" s="82">
        <v>814.2</v>
      </c>
      <c r="T12" s="33">
        <v>0.63</v>
      </c>
      <c r="U12" s="4">
        <v>71.599999999999994</v>
      </c>
      <c r="V12" s="4">
        <v>72.489999999999995</v>
      </c>
      <c r="W12" s="82">
        <v>1114.2</v>
      </c>
      <c r="X12" s="33">
        <v>0.55000000000000004</v>
      </c>
      <c r="Y12" s="4">
        <v>72.06</v>
      </c>
      <c r="Z12" s="4">
        <v>71.63</v>
      </c>
      <c r="AA12" s="82">
        <v>1333.9</v>
      </c>
      <c r="AB12" s="33">
        <v>0.5</v>
      </c>
      <c r="AC12" s="4">
        <v>72.040000000000006</v>
      </c>
      <c r="AD12" s="4">
        <v>71.38</v>
      </c>
      <c r="AE12" s="82">
        <v>1374.1</v>
      </c>
      <c r="AF12" s="33">
        <v>0.49</v>
      </c>
      <c r="AG12" s="4">
        <v>72.099999999999994</v>
      </c>
      <c r="AH12" s="4">
        <v>71.42</v>
      </c>
      <c r="AI12" s="82">
        <v>1375.8</v>
      </c>
      <c r="AJ12" s="33">
        <v>0.49</v>
      </c>
    </row>
    <row r="13" spans="1:36" x14ac:dyDescent="0.2">
      <c r="B13" s="105"/>
      <c r="C13" s="105"/>
      <c r="D13" s="29">
        <v>21</v>
      </c>
      <c r="E13" s="62"/>
      <c r="F13" s="62"/>
      <c r="G13" s="63"/>
      <c r="H13" s="81"/>
      <c r="I13" s="4">
        <v>53.03</v>
      </c>
      <c r="J13" s="4">
        <v>62.68</v>
      </c>
      <c r="K13" s="82">
        <v>511.7</v>
      </c>
      <c r="L13" s="33">
        <v>0.85</v>
      </c>
      <c r="M13" s="4">
        <v>66.31</v>
      </c>
      <c r="N13" s="4">
        <v>58.18</v>
      </c>
      <c r="O13" s="82">
        <v>2281.3000000000002</v>
      </c>
      <c r="P13" s="33">
        <v>0.37</v>
      </c>
      <c r="Q13" s="4">
        <v>69.61</v>
      </c>
      <c r="R13" s="4">
        <v>70.97</v>
      </c>
      <c r="S13" s="82">
        <v>1140.5</v>
      </c>
      <c r="T13" s="33">
        <v>0.56000000000000005</v>
      </c>
      <c r="U13" s="4">
        <v>69.39</v>
      </c>
      <c r="V13" s="4">
        <v>72.150000000000006</v>
      </c>
      <c r="W13" s="82">
        <v>895.2</v>
      </c>
      <c r="X13" s="33">
        <v>0.61</v>
      </c>
      <c r="Y13" s="4">
        <v>69.83</v>
      </c>
      <c r="Z13" s="4">
        <v>71.63</v>
      </c>
      <c r="AA13" s="82">
        <v>1052</v>
      </c>
      <c r="AB13" s="33">
        <v>0.57999999999999996</v>
      </c>
      <c r="AC13" s="4">
        <v>69.87</v>
      </c>
      <c r="AD13" s="4">
        <v>71.510000000000005</v>
      </c>
      <c r="AE13" s="82">
        <v>1079.2</v>
      </c>
      <c r="AF13" s="33">
        <v>0.56999999999999995</v>
      </c>
      <c r="AG13" s="4">
        <v>69.87</v>
      </c>
      <c r="AH13" s="4">
        <v>71.540000000000006</v>
      </c>
      <c r="AI13" s="82">
        <v>1074.8</v>
      </c>
      <c r="AJ13" s="33">
        <v>0.56999999999999995</v>
      </c>
    </row>
    <row r="14" spans="1:36" x14ac:dyDescent="0.2">
      <c r="B14" s="105"/>
      <c r="C14" s="105"/>
      <c r="D14" s="29">
        <v>47</v>
      </c>
      <c r="E14" s="62"/>
      <c r="F14" s="62"/>
      <c r="G14" s="63"/>
      <c r="H14" s="81"/>
      <c r="I14" s="4">
        <v>54.15</v>
      </c>
      <c r="J14" s="4"/>
      <c r="K14" s="82">
        <v>3739.8</v>
      </c>
      <c r="L14" s="33">
        <v>0.2</v>
      </c>
      <c r="M14" s="4">
        <v>66.02</v>
      </c>
      <c r="N14" s="4">
        <v>51.87</v>
      </c>
      <c r="O14" s="82">
        <v>2642</v>
      </c>
      <c r="P14" s="33">
        <v>0.3</v>
      </c>
      <c r="Q14" s="4">
        <v>69</v>
      </c>
      <c r="R14" s="4">
        <v>61.73</v>
      </c>
      <c r="S14" s="82">
        <v>2252.1</v>
      </c>
      <c r="T14" s="33">
        <v>0.35</v>
      </c>
      <c r="U14" s="4">
        <v>72.040000000000006</v>
      </c>
      <c r="V14" s="4">
        <v>71.91</v>
      </c>
      <c r="W14" s="82">
        <v>1280.5999999999999</v>
      </c>
      <c r="X14" s="33">
        <v>0.51</v>
      </c>
      <c r="Y14" s="4">
        <v>72.11</v>
      </c>
      <c r="Z14" s="4">
        <v>70.81</v>
      </c>
      <c r="AA14" s="82">
        <v>1477.8</v>
      </c>
      <c r="AB14" s="33">
        <v>0.47</v>
      </c>
      <c r="AC14" s="4">
        <v>72.12</v>
      </c>
      <c r="AD14" s="4">
        <v>70.62</v>
      </c>
      <c r="AE14" s="82">
        <v>1509.6</v>
      </c>
      <c r="AF14" s="33">
        <v>0.46</v>
      </c>
      <c r="AG14" s="4">
        <v>72.14</v>
      </c>
      <c r="AH14" s="4">
        <v>70.7</v>
      </c>
      <c r="AI14" s="82">
        <v>1500.2</v>
      </c>
      <c r="AJ14" s="33">
        <v>0.46</v>
      </c>
    </row>
    <row r="15" spans="1:36" x14ac:dyDescent="0.2">
      <c r="B15" s="105"/>
      <c r="C15" s="105"/>
      <c r="D15" s="29">
        <v>50</v>
      </c>
      <c r="E15" s="62"/>
      <c r="F15" s="62"/>
      <c r="G15" s="63"/>
      <c r="H15" s="81"/>
      <c r="I15" s="4">
        <v>49.47</v>
      </c>
      <c r="J15" s="4">
        <v>60.66</v>
      </c>
      <c r="K15" s="82">
        <v>779.8</v>
      </c>
      <c r="L15" s="33">
        <v>0.84</v>
      </c>
      <c r="M15" s="4">
        <v>59.71</v>
      </c>
      <c r="N15" s="4"/>
      <c r="O15" s="82">
        <v>1501.7</v>
      </c>
      <c r="P15" s="33">
        <v>0.59</v>
      </c>
      <c r="Q15" s="4">
        <v>71.19</v>
      </c>
      <c r="R15" s="4">
        <v>69.28</v>
      </c>
      <c r="S15" s="82">
        <v>1590.4</v>
      </c>
      <c r="T15" s="33">
        <v>0.46</v>
      </c>
      <c r="U15" s="4">
        <v>71.98</v>
      </c>
      <c r="V15" s="4">
        <v>70</v>
      </c>
      <c r="W15" s="82">
        <v>1586.9</v>
      </c>
      <c r="X15" s="33">
        <v>0.45</v>
      </c>
      <c r="Y15" s="4">
        <v>72.150000000000006</v>
      </c>
      <c r="Z15" s="4">
        <v>70.88</v>
      </c>
      <c r="AA15" s="82">
        <v>1470.2</v>
      </c>
      <c r="AB15" s="33">
        <v>0.47</v>
      </c>
      <c r="AC15" s="4">
        <v>72.2</v>
      </c>
      <c r="AD15" s="4">
        <v>71.39</v>
      </c>
      <c r="AE15" s="82">
        <v>1392.4</v>
      </c>
      <c r="AF15" s="33">
        <v>0.49</v>
      </c>
      <c r="AG15" s="4">
        <v>72.180000000000007</v>
      </c>
      <c r="AH15" s="4">
        <v>71.45</v>
      </c>
      <c r="AI15" s="82">
        <v>1380.1</v>
      </c>
      <c r="AJ15" s="33">
        <v>0.49</v>
      </c>
    </row>
    <row r="16" spans="1:36" x14ac:dyDescent="0.2">
      <c r="B16" s="105"/>
      <c r="C16" s="105"/>
      <c r="D16" s="30">
        <v>91</v>
      </c>
      <c r="E16" s="62"/>
      <c r="F16" s="62"/>
      <c r="G16" s="63"/>
      <c r="H16" s="81"/>
      <c r="I16" s="27">
        <v>53.48</v>
      </c>
      <c r="J16" s="27"/>
      <c r="K16" s="83">
        <v>4424</v>
      </c>
      <c r="L16" s="52">
        <v>7.0000000000000007E-2</v>
      </c>
      <c r="M16" s="27">
        <v>63.23</v>
      </c>
      <c r="N16" s="27">
        <v>57.28</v>
      </c>
      <c r="O16" s="83">
        <v>1609.1</v>
      </c>
      <c r="P16" s="52">
        <v>0.53</v>
      </c>
      <c r="Q16" s="27">
        <v>69.83</v>
      </c>
      <c r="R16" s="27">
        <v>64.64</v>
      </c>
      <c r="S16" s="83">
        <v>2067.3000000000002</v>
      </c>
      <c r="T16" s="52">
        <v>0.37</v>
      </c>
      <c r="U16" s="27">
        <v>71.510000000000005</v>
      </c>
      <c r="V16" s="27">
        <v>72.66</v>
      </c>
      <c r="W16" s="83">
        <v>1072.5</v>
      </c>
      <c r="X16" s="52">
        <v>0.56000000000000005</v>
      </c>
      <c r="Y16" s="27">
        <v>72.040000000000006</v>
      </c>
      <c r="Z16" s="27">
        <v>70.930000000000007</v>
      </c>
      <c r="AA16" s="83">
        <v>1449.7</v>
      </c>
      <c r="AB16" s="52">
        <v>0.48</v>
      </c>
      <c r="AC16" s="27">
        <v>72.05</v>
      </c>
      <c r="AD16" s="27">
        <v>70.849999999999994</v>
      </c>
      <c r="AE16" s="83">
        <v>1464.6</v>
      </c>
      <c r="AF16" s="52">
        <v>0.47</v>
      </c>
      <c r="AG16" s="27">
        <v>72.06</v>
      </c>
      <c r="AH16" s="27">
        <v>70.89</v>
      </c>
      <c r="AI16" s="83">
        <v>1459.6</v>
      </c>
      <c r="AJ16" s="52">
        <v>0.47</v>
      </c>
    </row>
    <row r="17" spans="2:36" x14ac:dyDescent="0.2">
      <c r="B17" s="106"/>
      <c r="C17" s="105"/>
      <c r="D17" s="6" t="s">
        <v>8</v>
      </c>
      <c r="E17" s="7" t="e">
        <f t="shared" ref="E17:AJ17" si="1">AVERAGE(E12:E16)</f>
        <v>#DIV/0!</v>
      </c>
      <c r="F17" s="7" t="e">
        <f t="shared" si="1"/>
        <v>#DIV/0!</v>
      </c>
      <c r="G17" s="35" t="e">
        <f t="shared" si="1"/>
        <v>#DIV/0!</v>
      </c>
      <c r="H17" s="34" t="e">
        <f t="shared" si="1"/>
        <v>#DIV/0!</v>
      </c>
      <c r="I17" s="7">
        <f t="shared" si="1"/>
        <v>51.927999999999997</v>
      </c>
      <c r="J17" s="7">
        <f t="shared" si="1"/>
        <v>61.67</v>
      </c>
      <c r="K17" s="35">
        <f t="shared" si="1"/>
        <v>2649.04</v>
      </c>
      <c r="L17" s="34">
        <f t="shared" si="1"/>
        <v>0.438</v>
      </c>
      <c r="M17" s="7">
        <f t="shared" si="1"/>
        <v>64.165999999999997</v>
      </c>
      <c r="N17" s="7">
        <f t="shared" si="1"/>
        <v>59.664999999999999</v>
      </c>
      <c r="O17" s="35">
        <f t="shared" si="1"/>
        <v>1725.6799999999998</v>
      </c>
      <c r="P17" s="34">
        <f t="shared" si="1"/>
        <v>0.5</v>
      </c>
      <c r="Q17" s="7">
        <f t="shared" si="1"/>
        <v>69.871999999999986</v>
      </c>
      <c r="R17" s="7">
        <f t="shared" si="1"/>
        <v>67.859999999999985</v>
      </c>
      <c r="S17" s="35">
        <f t="shared" si="1"/>
        <v>1572.9</v>
      </c>
      <c r="T17" s="34">
        <f t="shared" si="1"/>
        <v>0.47400000000000003</v>
      </c>
      <c r="U17" s="7">
        <f t="shared" si="1"/>
        <v>71.304000000000002</v>
      </c>
      <c r="V17" s="7">
        <f t="shared" si="1"/>
        <v>71.841999999999985</v>
      </c>
      <c r="W17" s="35">
        <f t="shared" si="1"/>
        <v>1189.8799999999999</v>
      </c>
      <c r="X17" s="34">
        <f t="shared" si="1"/>
        <v>0.53600000000000003</v>
      </c>
      <c r="Y17" s="7">
        <f t="shared" si="1"/>
        <v>71.638000000000005</v>
      </c>
      <c r="Z17" s="7">
        <f t="shared" si="1"/>
        <v>71.176000000000002</v>
      </c>
      <c r="AA17" s="35">
        <f t="shared" si="1"/>
        <v>1356.7199999999998</v>
      </c>
      <c r="AB17" s="34">
        <f t="shared" si="1"/>
        <v>0.5</v>
      </c>
      <c r="AC17" s="7">
        <f t="shared" si="1"/>
        <v>71.656000000000006</v>
      </c>
      <c r="AD17" s="7">
        <f t="shared" si="1"/>
        <v>71.150000000000006</v>
      </c>
      <c r="AE17" s="35">
        <f t="shared" si="1"/>
        <v>1363.98</v>
      </c>
      <c r="AF17" s="34">
        <f t="shared" si="1"/>
        <v>0.49599999999999989</v>
      </c>
      <c r="AG17" s="7">
        <f t="shared" si="1"/>
        <v>71.67</v>
      </c>
      <c r="AH17" s="7">
        <f t="shared" si="1"/>
        <v>71.2</v>
      </c>
      <c r="AI17" s="35">
        <f t="shared" si="1"/>
        <v>1358.1</v>
      </c>
      <c r="AJ17" s="34">
        <f t="shared" si="1"/>
        <v>0.49599999999999989</v>
      </c>
    </row>
    <row r="18" spans="2:36" x14ac:dyDescent="0.2">
      <c r="B18" s="104">
        <v>0.4</v>
      </c>
      <c r="C18" s="105"/>
      <c r="D18" s="28">
        <v>13</v>
      </c>
      <c r="E18" s="25"/>
      <c r="F18" s="25"/>
      <c r="G18" s="25"/>
      <c r="H18" s="31"/>
      <c r="I18" s="4">
        <v>51.43</v>
      </c>
      <c r="J18" s="4"/>
      <c r="K18" s="82">
        <v>4846.8999999999996</v>
      </c>
      <c r="L18" s="33">
        <v>0</v>
      </c>
      <c r="M18" s="4">
        <v>53.74</v>
      </c>
      <c r="N18" s="4"/>
      <c r="O18" s="1">
        <v>4503.2</v>
      </c>
      <c r="P18" s="33">
        <v>0.05</v>
      </c>
      <c r="Q18" s="25">
        <v>69.06</v>
      </c>
      <c r="R18" s="25">
        <v>72.81</v>
      </c>
      <c r="S18" s="25">
        <v>714.2</v>
      </c>
      <c r="T18" s="31">
        <v>0.65</v>
      </c>
      <c r="U18" s="25">
        <v>70.930000000000007</v>
      </c>
      <c r="V18" s="25">
        <v>73.61</v>
      </c>
      <c r="W18" s="25">
        <v>807</v>
      </c>
      <c r="X18" s="31">
        <v>0.62</v>
      </c>
      <c r="Y18" s="25">
        <v>72.08</v>
      </c>
      <c r="Z18" s="25">
        <v>71.41</v>
      </c>
      <c r="AA18" s="25">
        <v>1373.8</v>
      </c>
      <c r="AB18" s="31">
        <v>0.49</v>
      </c>
      <c r="AC18" s="25">
        <v>72.02</v>
      </c>
      <c r="AD18" s="25">
        <v>71.400000000000006</v>
      </c>
      <c r="AE18" s="25">
        <v>1368.7</v>
      </c>
      <c r="AF18" s="31">
        <v>0.49</v>
      </c>
      <c r="AG18" s="25">
        <v>72.099999999999994</v>
      </c>
      <c r="AH18" s="25">
        <v>71.41</v>
      </c>
      <c r="AI18" s="25">
        <v>1376.6</v>
      </c>
      <c r="AJ18" s="31">
        <v>0.49</v>
      </c>
    </row>
    <row r="19" spans="2:36" x14ac:dyDescent="0.2">
      <c r="B19" s="105"/>
      <c r="C19" s="105"/>
      <c r="D19" s="29">
        <v>21</v>
      </c>
      <c r="E19" s="4"/>
      <c r="F19" s="4"/>
      <c r="G19" s="1"/>
      <c r="H19" s="33"/>
      <c r="I19" s="4">
        <v>48.32</v>
      </c>
      <c r="J19" s="4">
        <v>42.55</v>
      </c>
      <c r="K19" s="1">
        <v>2522.4</v>
      </c>
      <c r="L19" s="33">
        <v>0.5</v>
      </c>
      <c r="M19" s="4">
        <v>60.36</v>
      </c>
      <c r="N19" s="4"/>
      <c r="O19" s="1">
        <v>1929.6</v>
      </c>
      <c r="P19" s="33">
        <v>0.5</v>
      </c>
      <c r="Q19" s="4">
        <v>69.44</v>
      </c>
      <c r="R19" s="4">
        <v>70.45</v>
      </c>
      <c r="S19" s="1">
        <v>1212.2</v>
      </c>
      <c r="T19" s="33">
        <v>0.55000000000000004</v>
      </c>
      <c r="U19" s="4">
        <v>68.790000000000006</v>
      </c>
      <c r="V19" s="4">
        <v>72.75</v>
      </c>
      <c r="W19" s="1">
        <v>693.3</v>
      </c>
      <c r="X19" s="33">
        <v>0.66</v>
      </c>
      <c r="Y19" s="4">
        <v>69.78</v>
      </c>
      <c r="Z19" s="4">
        <v>71.650000000000006</v>
      </c>
      <c r="AA19" s="1">
        <v>1042.5999999999999</v>
      </c>
      <c r="AB19" s="33">
        <v>0.57999999999999996</v>
      </c>
      <c r="AC19" s="4">
        <v>69.87</v>
      </c>
      <c r="AD19" s="4">
        <v>71.56</v>
      </c>
      <c r="AE19" s="1">
        <v>1070.0999999999999</v>
      </c>
      <c r="AF19" s="33">
        <v>0.56999999999999995</v>
      </c>
      <c r="AG19" s="4">
        <v>69.87</v>
      </c>
      <c r="AH19" s="4">
        <v>71.540000000000006</v>
      </c>
      <c r="AI19" s="1">
        <v>1073.5</v>
      </c>
      <c r="AJ19" s="33">
        <v>0.56999999999999995</v>
      </c>
    </row>
    <row r="20" spans="2:36" x14ac:dyDescent="0.2">
      <c r="B20" s="105"/>
      <c r="C20" s="105"/>
      <c r="D20" s="29">
        <v>47</v>
      </c>
      <c r="E20" s="4"/>
      <c r="F20" s="4"/>
      <c r="G20" s="1"/>
      <c r="H20" s="8"/>
      <c r="I20" s="4">
        <v>54</v>
      </c>
      <c r="J20" s="4">
        <v>50.33</v>
      </c>
      <c r="K20" s="1">
        <v>1827.9</v>
      </c>
      <c r="L20" s="8">
        <v>0.57999999999999996</v>
      </c>
      <c r="M20" s="4">
        <v>51.45</v>
      </c>
      <c r="N20" s="4"/>
      <c r="O20" s="1">
        <v>4854.8</v>
      </c>
      <c r="P20" s="8">
        <v>0</v>
      </c>
      <c r="Q20" s="4">
        <v>62.61</v>
      </c>
      <c r="R20" s="4">
        <v>42.98</v>
      </c>
      <c r="S20" s="1">
        <v>3430.5</v>
      </c>
      <c r="T20" s="8">
        <v>0.17</v>
      </c>
      <c r="U20" s="4">
        <v>71.650000000000006</v>
      </c>
      <c r="V20" s="4">
        <v>72.8</v>
      </c>
      <c r="W20" s="1">
        <v>1066.2</v>
      </c>
      <c r="X20" s="8">
        <v>0.56000000000000005</v>
      </c>
      <c r="Y20" s="4">
        <v>72.09</v>
      </c>
      <c r="Z20" s="4">
        <v>70.89</v>
      </c>
      <c r="AA20" s="1">
        <v>1461.7</v>
      </c>
      <c r="AB20" s="8">
        <v>0.47</v>
      </c>
      <c r="AC20" s="4">
        <v>72.12</v>
      </c>
      <c r="AD20" s="4">
        <v>70.58</v>
      </c>
      <c r="AE20" s="1">
        <v>1516.7</v>
      </c>
      <c r="AF20" s="8">
        <v>0.46</v>
      </c>
      <c r="AG20" s="4">
        <v>72.14</v>
      </c>
      <c r="AH20" s="4">
        <v>70.69</v>
      </c>
      <c r="AI20" s="1">
        <v>1500.6</v>
      </c>
      <c r="AJ20" s="8">
        <v>0.46</v>
      </c>
    </row>
    <row r="21" spans="2:36" x14ac:dyDescent="0.2">
      <c r="B21" s="105"/>
      <c r="C21" s="105"/>
      <c r="D21" s="29">
        <v>50</v>
      </c>
      <c r="E21" s="4"/>
      <c r="F21" s="4"/>
      <c r="G21" s="1"/>
      <c r="H21" s="8"/>
      <c r="I21" s="4">
        <v>46.52</v>
      </c>
      <c r="J21" s="4">
        <v>57.71</v>
      </c>
      <c r="K21" s="1">
        <v>770.5</v>
      </c>
      <c r="L21" s="8">
        <v>0.87</v>
      </c>
      <c r="M21" s="4">
        <v>57.91</v>
      </c>
      <c r="N21" s="4"/>
      <c r="O21" s="1">
        <v>3714.7</v>
      </c>
      <c r="P21" s="8">
        <v>0.16</v>
      </c>
      <c r="Q21" s="4">
        <v>70.680000000000007</v>
      </c>
      <c r="R21" s="4">
        <v>72.14</v>
      </c>
      <c r="S21" s="1">
        <v>1047.0999999999999</v>
      </c>
      <c r="T21" s="8">
        <v>0.56999999999999995</v>
      </c>
      <c r="U21" s="4">
        <v>71.94</v>
      </c>
      <c r="V21" s="4">
        <v>69.849999999999994</v>
      </c>
      <c r="W21" s="1">
        <v>1608.7</v>
      </c>
      <c r="X21" s="8">
        <v>0.44</v>
      </c>
      <c r="Y21" s="4">
        <v>72.12</v>
      </c>
      <c r="Z21" s="4">
        <v>70.61</v>
      </c>
      <c r="AA21" s="1">
        <v>1511.7</v>
      </c>
      <c r="AB21" s="8">
        <v>0.46</v>
      </c>
      <c r="AC21" s="4">
        <v>72.2</v>
      </c>
      <c r="AD21" s="4">
        <v>71.47</v>
      </c>
      <c r="AE21" s="1">
        <v>1378.2</v>
      </c>
      <c r="AF21" s="8">
        <v>0.49</v>
      </c>
      <c r="AG21" s="4">
        <v>72.17</v>
      </c>
      <c r="AH21" s="4">
        <v>71.47</v>
      </c>
      <c r="AI21" s="1">
        <v>1375.3</v>
      </c>
      <c r="AJ21" s="8">
        <v>0.49</v>
      </c>
    </row>
    <row r="22" spans="2:36" x14ac:dyDescent="0.2">
      <c r="B22" s="105"/>
      <c r="C22" s="105"/>
      <c r="D22" s="30">
        <v>91</v>
      </c>
      <c r="E22" s="27"/>
      <c r="F22" s="27"/>
      <c r="G22" s="26"/>
      <c r="H22" s="32"/>
      <c r="I22" s="27">
        <v>52.64</v>
      </c>
      <c r="J22" s="27"/>
      <c r="K22" s="26">
        <v>4113</v>
      </c>
      <c r="L22" s="32">
        <v>0.14000000000000001</v>
      </c>
      <c r="M22" s="27">
        <v>52.57</v>
      </c>
      <c r="N22" s="27"/>
      <c r="O22" s="26">
        <v>4730.6000000000004</v>
      </c>
      <c r="P22" s="32">
        <v>0.01</v>
      </c>
      <c r="Q22" s="27">
        <v>67.81</v>
      </c>
      <c r="R22" s="27">
        <v>62.79</v>
      </c>
      <c r="S22" s="26">
        <v>1931.2</v>
      </c>
      <c r="T22" s="32">
        <v>0.42</v>
      </c>
      <c r="U22" s="27">
        <v>71.290000000000006</v>
      </c>
      <c r="V22" s="27">
        <v>73.14</v>
      </c>
      <c r="W22" s="26">
        <v>951.6</v>
      </c>
      <c r="X22" s="32">
        <v>0.57999999999999996</v>
      </c>
      <c r="Y22" s="27">
        <v>71.930000000000007</v>
      </c>
      <c r="Z22" s="27">
        <v>71.489999999999995</v>
      </c>
      <c r="AA22" s="26">
        <v>1341.3</v>
      </c>
      <c r="AB22" s="32">
        <v>0.5</v>
      </c>
      <c r="AC22" s="27">
        <v>72.06</v>
      </c>
      <c r="AD22" s="27">
        <v>70.900000000000006</v>
      </c>
      <c r="AE22" s="26">
        <v>1457.2</v>
      </c>
      <c r="AF22" s="32">
        <v>0.47</v>
      </c>
      <c r="AG22" s="27">
        <v>72.040000000000006</v>
      </c>
      <c r="AH22" s="27">
        <v>70.83</v>
      </c>
      <c r="AI22" s="26">
        <v>1466.7</v>
      </c>
      <c r="AJ22" s="32">
        <v>0.47</v>
      </c>
    </row>
    <row r="23" spans="2:36" x14ac:dyDescent="0.2">
      <c r="B23" s="106"/>
      <c r="C23" s="105"/>
      <c r="D23" s="6" t="s">
        <v>8</v>
      </c>
      <c r="E23" s="7" t="e">
        <f t="shared" ref="E23:AJ23" si="2">AVERAGE(E18:E22)</f>
        <v>#DIV/0!</v>
      </c>
      <c r="F23" s="7" t="e">
        <f t="shared" si="2"/>
        <v>#DIV/0!</v>
      </c>
      <c r="G23" s="35" t="e">
        <f t="shared" si="2"/>
        <v>#DIV/0!</v>
      </c>
      <c r="H23" s="34" t="e">
        <f t="shared" si="2"/>
        <v>#DIV/0!</v>
      </c>
      <c r="I23" s="7">
        <f t="shared" si="2"/>
        <v>50.582000000000008</v>
      </c>
      <c r="J23" s="7">
        <f t="shared" si="2"/>
        <v>50.196666666666665</v>
      </c>
      <c r="K23" s="35">
        <f t="shared" si="2"/>
        <v>2816.14</v>
      </c>
      <c r="L23" s="34">
        <f t="shared" si="2"/>
        <v>0.41800000000000004</v>
      </c>
      <c r="M23" s="7">
        <f t="shared" si="2"/>
        <v>55.206000000000003</v>
      </c>
      <c r="N23" s="7" t="e">
        <f t="shared" si="2"/>
        <v>#DIV/0!</v>
      </c>
      <c r="O23" s="35">
        <f t="shared" si="2"/>
        <v>3946.5800000000004</v>
      </c>
      <c r="P23" s="34">
        <f t="shared" si="2"/>
        <v>0.14400000000000002</v>
      </c>
      <c r="Q23" s="7">
        <f t="shared" si="2"/>
        <v>67.92</v>
      </c>
      <c r="R23" s="7">
        <f t="shared" si="2"/>
        <v>64.234000000000009</v>
      </c>
      <c r="S23" s="35">
        <f t="shared" si="2"/>
        <v>1667.0400000000002</v>
      </c>
      <c r="T23" s="34">
        <f t="shared" si="2"/>
        <v>0.47199999999999998</v>
      </c>
      <c r="U23" s="7">
        <f t="shared" si="2"/>
        <v>70.920000000000016</v>
      </c>
      <c r="V23" s="7">
        <f t="shared" si="2"/>
        <v>72.429999999999993</v>
      </c>
      <c r="W23" s="35">
        <f t="shared" si="2"/>
        <v>1025.3600000000001</v>
      </c>
      <c r="X23" s="34">
        <f t="shared" si="2"/>
        <v>0.57200000000000006</v>
      </c>
      <c r="Y23" s="7">
        <f t="shared" si="2"/>
        <v>71.600000000000009</v>
      </c>
      <c r="Z23" s="7">
        <f t="shared" si="2"/>
        <v>71.210000000000008</v>
      </c>
      <c r="AA23" s="35">
        <f t="shared" si="2"/>
        <v>1346.2199999999998</v>
      </c>
      <c r="AB23" s="34">
        <f t="shared" si="2"/>
        <v>0.5</v>
      </c>
      <c r="AC23" s="7">
        <f t="shared" si="2"/>
        <v>71.653999999999996</v>
      </c>
      <c r="AD23" s="7">
        <f t="shared" si="2"/>
        <v>71.181999999999988</v>
      </c>
      <c r="AE23" s="35">
        <f t="shared" si="2"/>
        <v>1358.1799999999998</v>
      </c>
      <c r="AF23" s="34">
        <f t="shared" si="2"/>
        <v>0.49599999999999989</v>
      </c>
      <c r="AG23" s="7">
        <f t="shared" si="2"/>
        <v>71.664000000000016</v>
      </c>
      <c r="AH23" s="7">
        <f t="shared" si="2"/>
        <v>71.188000000000002</v>
      </c>
      <c r="AI23" s="35">
        <f t="shared" si="2"/>
        <v>1358.54</v>
      </c>
      <c r="AJ23" s="34">
        <f t="shared" si="2"/>
        <v>0.49599999999999989</v>
      </c>
    </row>
    <row r="24" spans="2:36" x14ac:dyDescent="0.2">
      <c r="B24" s="104">
        <v>0.6</v>
      </c>
      <c r="C24" s="105"/>
      <c r="D24" s="28">
        <v>13</v>
      </c>
      <c r="E24" s="25"/>
      <c r="F24" s="25"/>
      <c r="G24" s="25"/>
      <c r="H24" s="31"/>
      <c r="I24" s="25">
        <v>51.57</v>
      </c>
      <c r="J24" s="25">
        <v>36.659999999999997</v>
      </c>
      <c r="K24" s="25">
        <v>2550.5</v>
      </c>
      <c r="L24" s="31">
        <v>0.46</v>
      </c>
      <c r="M24" s="4">
        <v>41.56</v>
      </c>
      <c r="N24" s="4"/>
      <c r="O24" s="1">
        <v>3959.1</v>
      </c>
      <c r="P24" s="33">
        <v>0.28000000000000003</v>
      </c>
      <c r="Q24" s="25">
        <v>69.62</v>
      </c>
      <c r="R24" s="25">
        <v>63.86</v>
      </c>
      <c r="S24" s="25">
        <v>2109</v>
      </c>
      <c r="T24" s="31">
        <v>0.37</v>
      </c>
      <c r="U24" s="25">
        <v>71.77</v>
      </c>
      <c r="V24" s="25">
        <v>73.260000000000005</v>
      </c>
      <c r="W24" s="25">
        <v>992</v>
      </c>
      <c r="X24" s="31">
        <v>0.56999999999999995</v>
      </c>
      <c r="Y24" s="25">
        <v>72.11</v>
      </c>
      <c r="Z24" s="25">
        <v>71.069999999999993</v>
      </c>
      <c r="AA24" s="25">
        <v>1434.9</v>
      </c>
      <c r="AB24" s="31">
        <v>0.48</v>
      </c>
      <c r="AC24" s="25">
        <v>72.040000000000006</v>
      </c>
      <c r="AD24" s="25">
        <v>71.39</v>
      </c>
      <c r="AE24" s="25">
        <v>1373.2</v>
      </c>
      <c r="AF24" s="31">
        <v>0.49</v>
      </c>
      <c r="AG24" s="25">
        <v>72.099999999999994</v>
      </c>
      <c r="AH24" s="25">
        <v>71.39</v>
      </c>
      <c r="AI24" s="25">
        <v>1378.8</v>
      </c>
      <c r="AJ24" s="31">
        <v>0.49</v>
      </c>
    </row>
    <row r="25" spans="2:36" x14ac:dyDescent="0.2">
      <c r="B25" s="105"/>
      <c r="C25" s="105"/>
      <c r="D25" s="29">
        <v>21</v>
      </c>
      <c r="E25" s="4"/>
      <c r="F25" s="4"/>
      <c r="G25" s="1"/>
      <c r="H25" s="33"/>
      <c r="I25" s="4">
        <v>46.37</v>
      </c>
      <c r="J25" s="4">
        <v>39.15</v>
      </c>
      <c r="K25" s="1">
        <v>2436</v>
      </c>
      <c r="L25" s="8">
        <v>0.54</v>
      </c>
      <c r="M25" s="4">
        <v>51.41</v>
      </c>
      <c r="N25" s="4"/>
      <c r="O25" s="1">
        <v>4851.3999999999996</v>
      </c>
      <c r="P25" s="33">
        <v>0</v>
      </c>
      <c r="Q25" s="4">
        <v>67.73</v>
      </c>
      <c r="R25" s="4">
        <v>71.67</v>
      </c>
      <c r="S25" s="1">
        <v>767.3</v>
      </c>
      <c r="T25" s="33">
        <v>0.66</v>
      </c>
      <c r="U25" s="4">
        <v>67.930000000000007</v>
      </c>
      <c r="V25" s="4">
        <v>72.94</v>
      </c>
      <c r="W25" s="1">
        <v>538.9</v>
      </c>
      <c r="X25" s="33">
        <v>0.7</v>
      </c>
      <c r="Y25" s="4">
        <v>69.8</v>
      </c>
      <c r="Z25" s="4">
        <v>71.28</v>
      </c>
      <c r="AA25" s="1">
        <v>1113.8</v>
      </c>
      <c r="AB25" s="33">
        <v>0.56999999999999995</v>
      </c>
      <c r="AC25" s="4">
        <v>69.89</v>
      </c>
      <c r="AD25" s="4">
        <v>71.47</v>
      </c>
      <c r="AE25" s="1">
        <v>1089.3</v>
      </c>
      <c r="AF25" s="33">
        <v>0.56999999999999995</v>
      </c>
      <c r="AG25" s="4">
        <v>69.88</v>
      </c>
      <c r="AH25" s="4">
        <v>71.540000000000006</v>
      </c>
      <c r="AI25" s="1">
        <v>1074.4000000000001</v>
      </c>
      <c r="AJ25" s="33">
        <v>0.56999999999999995</v>
      </c>
    </row>
    <row r="26" spans="2:36" x14ac:dyDescent="0.2">
      <c r="B26" s="105"/>
      <c r="C26" s="105"/>
      <c r="D26" s="29">
        <v>47</v>
      </c>
      <c r="E26" s="4"/>
      <c r="F26" s="4"/>
      <c r="G26" s="1"/>
      <c r="H26" s="8"/>
      <c r="I26" s="4">
        <v>51.02</v>
      </c>
      <c r="J26" s="4">
        <v>59.83</v>
      </c>
      <c r="K26" s="1">
        <v>907</v>
      </c>
      <c r="L26" s="8">
        <v>0.79</v>
      </c>
      <c r="M26" s="4">
        <v>53.12</v>
      </c>
      <c r="N26" s="4">
        <v>7.96</v>
      </c>
      <c r="O26" s="1">
        <v>4651.3</v>
      </c>
      <c r="P26" s="8">
        <v>0.02</v>
      </c>
      <c r="Q26" s="4">
        <v>61.29</v>
      </c>
      <c r="R26" s="4">
        <v>37.729999999999997</v>
      </c>
      <c r="S26" s="1">
        <v>3597.7</v>
      </c>
      <c r="T26" s="8">
        <v>0.15</v>
      </c>
      <c r="U26" s="4">
        <v>71.92</v>
      </c>
      <c r="V26" s="4">
        <v>72.55</v>
      </c>
      <c r="W26" s="1">
        <v>1150.2</v>
      </c>
      <c r="X26" s="8">
        <v>0.54</v>
      </c>
      <c r="Y26" s="4">
        <v>72.03</v>
      </c>
      <c r="Z26" s="4">
        <v>71</v>
      </c>
      <c r="AA26" s="1">
        <v>1437.6</v>
      </c>
      <c r="AB26" s="8">
        <v>0.48</v>
      </c>
      <c r="AC26" s="4">
        <v>72.12</v>
      </c>
      <c r="AD26" s="4">
        <v>70.489999999999995</v>
      </c>
      <c r="AE26" s="1">
        <v>1531.9</v>
      </c>
      <c r="AF26" s="8">
        <v>0.46</v>
      </c>
      <c r="AG26" s="4">
        <v>72.150000000000006</v>
      </c>
      <c r="AH26" s="4">
        <v>70.709999999999994</v>
      </c>
      <c r="AI26" s="1">
        <v>1499</v>
      </c>
      <c r="AJ26" s="8">
        <v>0.46</v>
      </c>
    </row>
    <row r="27" spans="2:36" x14ac:dyDescent="0.2">
      <c r="B27" s="105"/>
      <c r="C27" s="105"/>
      <c r="D27" s="29">
        <v>50</v>
      </c>
      <c r="E27" s="4"/>
      <c r="F27" s="4"/>
      <c r="G27" s="1"/>
      <c r="H27" s="8"/>
      <c r="I27" s="4">
        <v>47.91</v>
      </c>
      <c r="J27" s="4">
        <v>49.24</v>
      </c>
      <c r="K27" s="1">
        <v>1733.3</v>
      </c>
      <c r="L27" s="8">
        <v>0.66</v>
      </c>
      <c r="M27" s="4">
        <v>53.98</v>
      </c>
      <c r="N27" s="4">
        <v>55.84</v>
      </c>
      <c r="O27" s="1">
        <v>1511</v>
      </c>
      <c r="P27" s="8">
        <v>0.64</v>
      </c>
      <c r="Q27" s="4">
        <v>68.709999999999994</v>
      </c>
      <c r="R27" s="4">
        <v>63.89</v>
      </c>
      <c r="S27" s="1">
        <v>2060.4</v>
      </c>
      <c r="T27" s="8">
        <v>0.39</v>
      </c>
      <c r="U27" s="4">
        <v>71.540000000000006</v>
      </c>
      <c r="V27" s="4">
        <v>72.37</v>
      </c>
      <c r="W27" s="1">
        <v>1132.5999999999999</v>
      </c>
      <c r="X27" s="8">
        <v>0.54</v>
      </c>
      <c r="Y27" s="4">
        <v>72.09</v>
      </c>
      <c r="Z27" s="4">
        <v>70.540000000000006</v>
      </c>
      <c r="AA27" s="1">
        <v>1519.3</v>
      </c>
      <c r="AB27" s="8">
        <v>0.46</v>
      </c>
      <c r="AC27" s="4">
        <v>72.2</v>
      </c>
      <c r="AD27" s="4">
        <v>71.430000000000007</v>
      </c>
      <c r="AE27" s="1">
        <v>1385.3</v>
      </c>
      <c r="AF27" s="8">
        <v>0.49</v>
      </c>
      <c r="AG27" s="4">
        <v>72.17</v>
      </c>
      <c r="AH27" s="4">
        <v>71.459999999999994</v>
      </c>
      <c r="AI27" s="1">
        <v>1376.6</v>
      </c>
      <c r="AJ27" s="8">
        <v>0.49</v>
      </c>
    </row>
    <row r="28" spans="2:36" x14ac:dyDescent="0.2">
      <c r="B28" s="105"/>
      <c r="C28" s="105"/>
      <c r="D28" s="30">
        <v>91</v>
      </c>
      <c r="E28" s="27"/>
      <c r="F28" s="27"/>
      <c r="G28" s="26"/>
      <c r="H28" s="32"/>
      <c r="I28" s="27">
        <v>52.67</v>
      </c>
      <c r="J28" s="27"/>
      <c r="K28" s="26">
        <v>3925.2</v>
      </c>
      <c r="L28" s="32">
        <v>0.17</v>
      </c>
      <c r="M28" s="27">
        <v>56.76</v>
      </c>
      <c r="N28" s="27">
        <v>38.840000000000003</v>
      </c>
      <c r="O28" s="26">
        <v>2743.3</v>
      </c>
      <c r="P28" s="32">
        <v>0.37</v>
      </c>
      <c r="Q28" s="27">
        <v>67.39</v>
      </c>
      <c r="R28" s="27">
        <v>68.72</v>
      </c>
      <c r="S28" s="26">
        <v>1102.8</v>
      </c>
      <c r="T28" s="32">
        <v>0.59</v>
      </c>
      <c r="U28" s="27">
        <v>71.989999999999995</v>
      </c>
      <c r="V28" s="27">
        <v>71.930000000000007</v>
      </c>
      <c r="W28" s="26">
        <v>1270.8</v>
      </c>
      <c r="X28" s="32">
        <v>0.51</v>
      </c>
      <c r="Y28" s="27">
        <v>71.94</v>
      </c>
      <c r="Z28" s="27">
        <v>71.64</v>
      </c>
      <c r="AA28" s="26">
        <v>1316.9</v>
      </c>
      <c r="AB28" s="32">
        <v>0.5</v>
      </c>
      <c r="AC28" s="27">
        <v>72.08</v>
      </c>
      <c r="AD28" s="27">
        <v>70.91</v>
      </c>
      <c r="AE28" s="26">
        <v>1457.2</v>
      </c>
      <c r="AF28" s="32">
        <v>0.47</v>
      </c>
      <c r="AG28" s="27">
        <v>72.06</v>
      </c>
      <c r="AH28" s="27">
        <v>70.790000000000006</v>
      </c>
      <c r="AI28" s="26">
        <v>1475.8</v>
      </c>
      <c r="AJ28" s="32">
        <v>0.47</v>
      </c>
    </row>
    <row r="29" spans="2:36" x14ac:dyDescent="0.2">
      <c r="B29" s="106"/>
      <c r="C29" s="105"/>
      <c r="D29" s="6" t="s">
        <v>8</v>
      </c>
      <c r="E29" s="7" t="e">
        <f t="shared" ref="E29:AJ29" si="3">AVERAGE(E24:E28)</f>
        <v>#DIV/0!</v>
      </c>
      <c r="F29" s="7" t="e">
        <f t="shared" si="3"/>
        <v>#DIV/0!</v>
      </c>
      <c r="G29" s="35" t="e">
        <f t="shared" si="3"/>
        <v>#DIV/0!</v>
      </c>
      <c r="H29" s="34" t="e">
        <f t="shared" si="3"/>
        <v>#DIV/0!</v>
      </c>
      <c r="I29" s="7">
        <f t="shared" si="3"/>
        <v>49.908000000000001</v>
      </c>
      <c r="J29" s="7">
        <f t="shared" si="3"/>
        <v>46.22</v>
      </c>
      <c r="K29" s="35">
        <f t="shared" si="3"/>
        <v>2310.4</v>
      </c>
      <c r="L29" s="34">
        <f t="shared" si="3"/>
        <v>0.52400000000000002</v>
      </c>
      <c r="M29" s="7">
        <f t="shared" si="3"/>
        <v>51.366</v>
      </c>
      <c r="N29" s="7">
        <f t="shared" si="3"/>
        <v>34.213333333333338</v>
      </c>
      <c r="O29" s="35">
        <f t="shared" si="3"/>
        <v>3543.22</v>
      </c>
      <c r="P29" s="34">
        <f t="shared" si="3"/>
        <v>0.26200000000000001</v>
      </c>
      <c r="Q29" s="7">
        <f t="shared" si="3"/>
        <v>66.948000000000008</v>
      </c>
      <c r="R29" s="7">
        <f t="shared" si="3"/>
        <v>61.173999999999999</v>
      </c>
      <c r="S29" s="35">
        <f t="shared" si="3"/>
        <v>1927.4399999999998</v>
      </c>
      <c r="T29" s="34">
        <f t="shared" si="3"/>
        <v>0.43199999999999994</v>
      </c>
      <c r="U29" s="7">
        <f t="shared" si="3"/>
        <v>71.03</v>
      </c>
      <c r="V29" s="7">
        <f t="shared" si="3"/>
        <v>72.61</v>
      </c>
      <c r="W29" s="35">
        <f t="shared" si="3"/>
        <v>1016.9</v>
      </c>
      <c r="X29" s="34">
        <f t="shared" si="3"/>
        <v>0.57200000000000006</v>
      </c>
      <c r="Y29" s="7">
        <f t="shared" si="3"/>
        <v>71.593999999999994</v>
      </c>
      <c r="Z29" s="7">
        <f t="shared" si="3"/>
        <v>71.105999999999995</v>
      </c>
      <c r="AA29" s="35">
        <f t="shared" si="3"/>
        <v>1364.5</v>
      </c>
      <c r="AB29" s="34">
        <f t="shared" si="3"/>
        <v>0.49799999999999994</v>
      </c>
      <c r="AC29" s="7">
        <f t="shared" si="3"/>
        <v>71.665999999999997</v>
      </c>
      <c r="AD29" s="7">
        <f t="shared" si="3"/>
        <v>71.138000000000005</v>
      </c>
      <c r="AE29" s="35">
        <f t="shared" si="3"/>
        <v>1367.3799999999999</v>
      </c>
      <c r="AF29" s="34">
        <f t="shared" si="3"/>
        <v>0.49599999999999989</v>
      </c>
      <c r="AG29" s="7">
        <f t="shared" si="3"/>
        <v>71.671999999999997</v>
      </c>
      <c r="AH29" s="7">
        <f t="shared" si="3"/>
        <v>71.177999999999997</v>
      </c>
      <c r="AI29" s="35">
        <f t="shared" si="3"/>
        <v>1360.9199999999998</v>
      </c>
      <c r="AJ29" s="34">
        <f t="shared" si="3"/>
        <v>0.49599999999999989</v>
      </c>
    </row>
    <row r="30" spans="2:36" x14ac:dyDescent="0.2">
      <c r="B30" s="102">
        <v>0.8</v>
      </c>
      <c r="C30" s="105"/>
      <c r="D30" s="28">
        <v>13</v>
      </c>
      <c r="E30" s="25"/>
      <c r="F30" s="1"/>
      <c r="G30" s="25"/>
      <c r="H30" s="31"/>
      <c r="I30" s="25">
        <v>52.44</v>
      </c>
      <c r="J30" s="1">
        <v>59.04</v>
      </c>
      <c r="K30" s="25">
        <v>1031.0999999999999</v>
      </c>
      <c r="L30" s="31">
        <v>0.76</v>
      </c>
      <c r="M30" s="4">
        <v>43.44</v>
      </c>
      <c r="N30" s="4">
        <v>31.48</v>
      </c>
      <c r="O30" s="1">
        <v>2880.4</v>
      </c>
      <c r="P30" s="8">
        <v>0.48</v>
      </c>
      <c r="Q30" s="25">
        <v>69.77</v>
      </c>
      <c r="R30" s="1">
        <v>64.08</v>
      </c>
      <c r="S30" s="25">
        <v>2138.1</v>
      </c>
      <c r="T30" s="31">
        <v>0.36</v>
      </c>
      <c r="U30" s="25">
        <v>71.900000000000006</v>
      </c>
      <c r="V30" s="1">
        <v>72.91</v>
      </c>
      <c r="W30" s="25">
        <v>1078.0999999999999</v>
      </c>
      <c r="X30" s="31">
        <v>0.55000000000000004</v>
      </c>
      <c r="Y30" s="25">
        <v>72.069999999999993</v>
      </c>
      <c r="Z30" s="1">
        <v>70.87</v>
      </c>
      <c r="AA30" s="25">
        <v>1464.2</v>
      </c>
      <c r="AB30" s="31">
        <v>0.47</v>
      </c>
      <c r="AC30" s="25">
        <v>72.05</v>
      </c>
      <c r="AD30" s="1">
        <v>71.37</v>
      </c>
      <c r="AE30" s="25">
        <v>1377.6</v>
      </c>
      <c r="AF30" s="31">
        <v>0.49</v>
      </c>
      <c r="AG30" s="25">
        <v>72.069999999999993</v>
      </c>
      <c r="AH30" s="1">
        <v>71.34</v>
      </c>
      <c r="AI30" s="25">
        <v>1384.8</v>
      </c>
      <c r="AJ30" s="31">
        <v>0.49</v>
      </c>
    </row>
    <row r="31" spans="2:36" x14ac:dyDescent="0.2">
      <c r="B31" s="103"/>
      <c r="C31" s="105"/>
      <c r="D31" s="29">
        <v>21</v>
      </c>
      <c r="E31" s="4"/>
      <c r="F31" s="4"/>
      <c r="G31" s="1"/>
      <c r="H31" s="8"/>
      <c r="I31" s="4">
        <v>49.28</v>
      </c>
      <c r="J31" s="4">
        <v>51.49</v>
      </c>
      <c r="K31" s="1">
        <v>1445.3</v>
      </c>
      <c r="L31" s="8">
        <v>0.7</v>
      </c>
      <c r="M31" s="4">
        <v>51.38</v>
      </c>
      <c r="N31" s="4"/>
      <c r="O31" s="1">
        <v>4859.8999999999996</v>
      </c>
      <c r="P31" s="8">
        <v>0</v>
      </c>
      <c r="Q31" s="4">
        <v>64.12</v>
      </c>
      <c r="R31" s="4">
        <v>71.89</v>
      </c>
      <c r="S31" s="1">
        <v>276.3</v>
      </c>
      <c r="T31" s="8">
        <v>0.79</v>
      </c>
      <c r="U31" s="4">
        <v>67.78</v>
      </c>
      <c r="V31" s="4">
        <v>72.900000000000006</v>
      </c>
      <c r="W31" s="1">
        <v>528.5</v>
      </c>
      <c r="X31" s="8">
        <v>0.7</v>
      </c>
      <c r="Y31" s="4">
        <v>69.75</v>
      </c>
      <c r="Z31" s="4">
        <v>71.14</v>
      </c>
      <c r="AA31" s="1">
        <v>1132.8</v>
      </c>
      <c r="AB31" s="8">
        <v>0.56000000000000005</v>
      </c>
      <c r="AC31" s="4">
        <v>69.86</v>
      </c>
      <c r="AD31" s="4">
        <v>71.42</v>
      </c>
      <c r="AE31" s="1">
        <v>1095.3</v>
      </c>
      <c r="AF31" s="8">
        <v>0.56999999999999995</v>
      </c>
      <c r="AG31" s="4">
        <v>69.89</v>
      </c>
      <c r="AH31" s="4">
        <v>71.540000000000006</v>
      </c>
      <c r="AI31" s="1">
        <v>1076</v>
      </c>
      <c r="AJ31" s="8">
        <v>0.56999999999999995</v>
      </c>
    </row>
    <row r="32" spans="2:36" x14ac:dyDescent="0.2">
      <c r="B32" s="103"/>
      <c r="C32" s="105"/>
      <c r="D32" s="29">
        <v>47</v>
      </c>
      <c r="E32" s="4"/>
      <c r="F32" s="4"/>
      <c r="G32" s="1"/>
      <c r="H32" s="8"/>
      <c r="I32" s="4">
        <v>52.96</v>
      </c>
      <c r="J32" s="4">
        <v>64.52</v>
      </c>
      <c r="K32" s="1">
        <v>514</v>
      </c>
      <c r="L32" s="8">
        <v>0.85</v>
      </c>
      <c r="M32" s="4">
        <v>51.85</v>
      </c>
      <c r="N32" s="4"/>
      <c r="O32" s="1">
        <v>4807.3</v>
      </c>
      <c r="P32" s="8">
        <v>0.01</v>
      </c>
      <c r="Q32" s="4">
        <v>67.94</v>
      </c>
      <c r="R32" s="4">
        <v>58.43</v>
      </c>
      <c r="S32" s="1">
        <v>2585</v>
      </c>
      <c r="T32" s="8">
        <v>0.28999999999999998</v>
      </c>
      <c r="U32" s="4">
        <v>72.09</v>
      </c>
      <c r="V32" s="4">
        <v>71.92</v>
      </c>
      <c r="W32" s="1">
        <v>1286</v>
      </c>
      <c r="X32" s="8">
        <v>0.51</v>
      </c>
      <c r="Y32" s="4">
        <v>72.03</v>
      </c>
      <c r="Z32" s="4">
        <v>71.06</v>
      </c>
      <c r="AA32" s="1">
        <v>1427.5</v>
      </c>
      <c r="AB32" s="8">
        <v>0.48</v>
      </c>
      <c r="AC32" s="4">
        <v>72.14</v>
      </c>
      <c r="AD32" s="4">
        <v>70.55</v>
      </c>
      <c r="AE32" s="1">
        <v>1522.7</v>
      </c>
      <c r="AF32" s="8">
        <v>0.46</v>
      </c>
      <c r="AG32" s="4">
        <v>72.14</v>
      </c>
      <c r="AH32" s="4">
        <v>70.67</v>
      </c>
      <c r="AI32" s="1">
        <v>1505.6</v>
      </c>
      <c r="AJ32" s="8">
        <v>0.46</v>
      </c>
    </row>
    <row r="33" spans="2:36" x14ac:dyDescent="0.2">
      <c r="B33" s="103"/>
      <c r="C33" s="105"/>
      <c r="D33" s="29">
        <v>50</v>
      </c>
      <c r="E33" s="4"/>
      <c r="F33" s="4"/>
      <c r="G33" s="1"/>
      <c r="H33" s="8"/>
      <c r="I33" s="4">
        <v>53.02</v>
      </c>
      <c r="J33" s="4"/>
      <c r="K33" s="1">
        <v>1524.7</v>
      </c>
      <c r="L33" s="8">
        <v>0.65</v>
      </c>
      <c r="M33" s="4">
        <v>51.36</v>
      </c>
      <c r="N33" s="4">
        <v>50.71</v>
      </c>
      <c r="O33" s="1">
        <v>1487.9</v>
      </c>
      <c r="P33" s="8">
        <v>0.67</v>
      </c>
      <c r="Q33" s="4">
        <v>63.9</v>
      </c>
      <c r="R33" s="4">
        <v>49.63</v>
      </c>
      <c r="S33" s="1">
        <v>2967</v>
      </c>
      <c r="T33" s="8">
        <v>0.25</v>
      </c>
      <c r="U33" s="4">
        <v>71.239999999999995</v>
      </c>
      <c r="V33" s="4">
        <v>73</v>
      </c>
      <c r="W33" s="1">
        <v>969.4</v>
      </c>
      <c r="X33" s="8">
        <v>0.57999999999999996</v>
      </c>
      <c r="Y33" s="4">
        <v>72.19</v>
      </c>
      <c r="Z33" s="4">
        <v>71.209999999999994</v>
      </c>
      <c r="AA33" s="1">
        <v>1421.3</v>
      </c>
      <c r="AB33" s="8">
        <v>0.48</v>
      </c>
      <c r="AC33" s="4">
        <v>72.19</v>
      </c>
      <c r="AD33" s="4">
        <v>71.44</v>
      </c>
      <c r="AE33" s="1">
        <v>1382.9</v>
      </c>
      <c r="AF33" s="8">
        <v>0.49</v>
      </c>
      <c r="AG33" s="4">
        <v>72.180000000000007</v>
      </c>
      <c r="AH33" s="4">
        <v>71.48</v>
      </c>
      <c r="AI33" s="1">
        <v>1374.5</v>
      </c>
      <c r="AJ33" s="8">
        <v>0.49</v>
      </c>
    </row>
    <row r="34" spans="2:36" x14ac:dyDescent="0.2">
      <c r="B34" s="103"/>
      <c r="C34" s="105"/>
      <c r="D34" s="30">
        <v>91</v>
      </c>
      <c r="E34" s="27"/>
      <c r="F34" s="27"/>
      <c r="G34" s="26"/>
      <c r="H34" s="32"/>
      <c r="I34" s="27">
        <v>56.11</v>
      </c>
      <c r="J34" s="27"/>
      <c r="K34" s="26">
        <v>1794.9</v>
      </c>
      <c r="L34" s="32">
        <v>0.56999999999999995</v>
      </c>
      <c r="M34" s="27">
        <v>52.98</v>
      </c>
      <c r="N34" s="27">
        <v>61.63</v>
      </c>
      <c r="O34" s="26">
        <v>674.3</v>
      </c>
      <c r="P34" s="32">
        <v>0.82</v>
      </c>
      <c r="Q34" s="27">
        <v>69.36</v>
      </c>
      <c r="R34" s="27">
        <v>70.819999999999993</v>
      </c>
      <c r="S34" s="26">
        <v>1079.7</v>
      </c>
      <c r="T34" s="32">
        <v>0.57999999999999996</v>
      </c>
      <c r="U34" s="27">
        <v>71.73</v>
      </c>
      <c r="V34" s="27">
        <v>72.17</v>
      </c>
      <c r="W34" s="26">
        <v>1192.3</v>
      </c>
      <c r="X34" s="32">
        <v>0.53</v>
      </c>
      <c r="Y34" s="27">
        <v>71.97</v>
      </c>
      <c r="Z34" s="27">
        <v>72.08</v>
      </c>
      <c r="AA34" s="26">
        <v>1242.4000000000001</v>
      </c>
      <c r="AB34" s="32">
        <v>0.52</v>
      </c>
      <c r="AC34" s="27">
        <v>72.05</v>
      </c>
      <c r="AD34" s="27">
        <v>70.78</v>
      </c>
      <c r="AE34" s="26">
        <v>1476.1</v>
      </c>
      <c r="AF34" s="32">
        <v>0.47</v>
      </c>
      <c r="AG34" s="27">
        <v>72.06</v>
      </c>
      <c r="AH34" s="27">
        <v>70.77</v>
      </c>
      <c r="AI34" s="26">
        <v>1478.2</v>
      </c>
      <c r="AJ34" s="32">
        <v>0.47</v>
      </c>
    </row>
    <row r="35" spans="2:36" x14ac:dyDescent="0.2">
      <c r="B35" s="101"/>
      <c r="C35" s="105"/>
      <c r="D35" s="6" t="s">
        <v>8</v>
      </c>
      <c r="E35" s="7" t="e">
        <f t="shared" ref="E35:AJ35" si="4">AVERAGE(E30:E34)</f>
        <v>#DIV/0!</v>
      </c>
      <c r="F35" s="7" t="e">
        <f t="shared" si="4"/>
        <v>#DIV/0!</v>
      </c>
      <c r="G35" s="35" t="e">
        <f t="shared" si="4"/>
        <v>#DIV/0!</v>
      </c>
      <c r="H35" s="34" t="e">
        <f t="shared" si="4"/>
        <v>#DIV/0!</v>
      </c>
      <c r="I35" s="7">
        <f t="shared" si="4"/>
        <v>52.762</v>
      </c>
      <c r="J35" s="7">
        <f t="shared" si="4"/>
        <v>58.35</v>
      </c>
      <c r="K35" s="35">
        <f t="shared" si="4"/>
        <v>1262</v>
      </c>
      <c r="L35" s="34">
        <f t="shared" si="4"/>
        <v>0.70599999999999996</v>
      </c>
      <c r="M35" s="7">
        <f t="shared" si="4"/>
        <v>50.201999999999991</v>
      </c>
      <c r="N35" s="7">
        <f t="shared" si="4"/>
        <v>47.94</v>
      </c>
      <c r="O35" s="35">
        <f t="shared" si="4"/>
        <v>2941.9599999999996</v>
      </c>
      <c r="P35" s="34">
        <f t="shared" si="4"/>
        <v>0.39600000000000002</v>
      </c>
      <c r="Q35" s="7">
        <f t="shared" si="4"/>
        <v>67.018000000000001</v>
      </c>
      <c r="R35" s="7">
        <f t="shared" si="4"/>
        <v>62.970000000000006</v>
      </c>
      <c r="S35" s="35">
        <f t="shared" si="4"/>
        <v>1809.22</v>
      </c>
      <c r="T35" s="34">
        <f t="shared" si="4"/>
        <v>0.45400000000000001</v>
      </c>
      <c r="U35" s="7">
        <f t="shared" si="4"/>
        <v>70.948000000000008</v>
      </c>
      <c r="V35" s="7">
        <f t="shared" si="4"/>
        <v>72.580000000000013</v>
      </c>
      <c r="W35" s="35">
        <f t="shared" si="4"/>
        <v>1010.86</v>
      </c>
      <c r="X35" s="34">
        <f t="shared" si="4"/>
        <v>0.57400000000000007</v>
      </c>
      <c r="Y35" s="7">
        <f t="shared" si="4"/>
        <v>71.602000000000004</v>
      </c>
      <c r="Z35" s="7">
        <f t="shared" si="4"/>
        <v>71.271999999999991</v>
      </c>
      <c r="AA35" s="35">
        <f t="shared" si="4"/>
        <v>1337.64</v>
      </c>
      <c r="AB35" s="34">
        <f t="shared" si="4"/>
        <v>0.502</v>
      </c>
      <c r="AC35" s="7">
        <f t="shared" si="4"/>
        <v>71.658000000000001</v>
      </c>
      <c r="AD35" s="7">
        <f t="shared" si="4"/>
        <v>71.112000000000009</v>
      </c>
      <c r="AE35" s="35">
        <f t="shared" si="4"/>
        <v>1370.92</v>
      </c>
      <c r="AF35" s="34">
        <f t="shared" si="4"/>
        <v>0.49599999999999989</v>
      </c>
      <c r="AG35" s="7">
        <f t="shared" si="4"/>
        <v>71.667999999999992</v>
      </c>
      <c r="AH35" s="7">
        <f t="shared" si="4"/>
        <v>71.16</v>
      </c>
      <c r="AI35" s="35">
        <f t="shared" si="4"/>
        <v>1363.82</v>
      </c>
      <c r="AJ35" s="34">
        <f t="shared" si="4"/>
        <v>0.49599999999999989</v>
      </c>
    </row>
    <row r="36" spans="2:36" x14ac:dyDescent="0.2">
      <c r="B36" s="104">
        <v>1</v>
      </c>
      <c r="C36" s="105"/>
      <c r="D36" s="28">
        <v>13</v>
      </c>
      <c r="E36" s="25"/>
      <c r="F36" s="25"/>
      <c r="G36" s="25"/>
      <c r="H36" s="31"/>
      <c r="I36" s="25">
        <v>54.28</v>
      </c>
      <c r="J36" s="25">
        <v>51.03</v>
      </c>
      <c r="K36" s="25">
        <v>2207.3000000000002</v>
      </c>
      <c r="L36" s="31">
        <v>0.5</v>
      </c>
      <c r="M36" s="4">
        <v>37.979999999999997</v>
      </c>
      <c r="N36" s="4">
        <v>27.79</v>
      </c>
      <c r="O36" s="1">
        <v>3285.3</v>
      </c>
      <c r="P36" s="8">
        <v>0.45</v>
      </c>
      <c r="Q36" s="25">
        <v>70.650000000000006</v>
      </c>
      <c r="R36" s="25">
        <v>66.760000000000005</v>
      </c>
      <c r="S36" s="25">
        <v>1859.4</v>
      </c>
      <c r="T36" s="31">
        <v>0.41</v>
      </c>
      <c r="U36" s="25">
        <v>71.84</v>
      </c>
      <c r="V36" s="25">
        <v>71.75</v>
      </c>
      <c r="W36" s="25">
        <v>1272.9000000000001</v>
      </c>
      <c r="X36" s="31">
        <v>0.51</v>
      </c>
      <c r="Y36" s="25">
        <v>72.08</v>
      </c>
      <c r="Z36" s="25">
        <v>70.89</v>
      </c>
      <c r="AA36" s="25">
        <v>1461.4</v>
      </c>
      <c r="AB36" s="31">
        <v>0.47</v>
      </c>
      <c r="AC36" s="25">
        <v>72.05</v>
      </c>
      <c r="AD36" s="25">
        <v>71.37</v>
      </c>
      <c r="AE36" s="25">
        <v>1376.3</v>
      </c>
      <c r="AF36" s="31">
        <v>0.49</v>
      </c>
      <c r="AG36" s="25">
        <v>72.069999999999993</v>
      </c>
      <c r="AH36" s="25">
        <v>71.3</v>
      </c>
      <c r="AI36" s="25">
        <v>1392</v>
      </c>
      <c r="AJ36" s="31">
        <v>0.49</v>
      </c>
    </row>
    <row r="37" spans="2:36" x14ac:dyDescent="0.2">
      <c r="B37" s="105"/>
      <c r="C37" s="105"/>
      <c r="D37" s="29">
        <v>21</v>
      </c>
      <c r="E37" s="4"/>
      <c r="F37" s="4"/>
      <c r="G37" s="1"/>
      <c r="H37" s="8"/>
      <c r="I37" s="4">
        <v>48.72</v>
      </c>
      <c r="J37" s="4">
        <v>45</v>
      </c>
      <c r="K37" s="1">
        <v>2011.7</v>
      </c>
      <c r="L37" s="8">
        <v>0.6</v>
      </c>
      <c r="M37" s="4">
        <v>51.51</v>
      </c>
      <c r="N37" s="4"/>
      <c r="O37" s="1">
        <v>4842.1000000000004</v>
      </c>
      <c r="P37" s="8">
        <v>0</v>
      </c>
      <c r="Q37" s="4">
        <v>58.27</v>
      </c>
      <c r="R37" s="4">
        <v>69.7</v>
      </c>
      <c r="S37" s="1">
        <v>62</v>
      </c>
      <c r="T37" s="8">
        <v>0.89</v>
      </c>
      <c r="U37" s="4">
        <v>67.180000000000007</v>
      </c>
      <c r="V37" s="4">
        <v>72.83</v>
      </c>
      <c r="W37" s="1">
        <v>462.2</v>
      </c>
      <c r="X37" s="8">
        <v>0.72</v>
      </c>
      <c r="Y37" s="4">
        <v>69.790000000000006</v>
      </c>
      <c r="Z37" s="4">
        <v>71.23</v>
      </c>
      <c r="AA37" s="1">
        <v>1120.4000000000001</v>
      </c>
      <c r="AB37" s="8">
        <v>0.56000000000000005</v>
      </c>
      <c r="AC37" s="4">
        <v>69.87</v>
      </c>
      <c r="AD37" s="4">
        <v>71.53</v>
      </c>
      <c r="AE37" s="1">
        <v>1075.2</v>
      </c>
      <c r="AF37" s="8">
        <v>0.56999999999999995</v>
      </c>
      <c r="AG37" s="4">
        <v>69.849999999999994</v>
      </c>
      <c r="AH37" s="4">
        <v>71.540000000000006</v>
      </c>
      <c r="AI37" s="1">
        <v>1071.4000000000001</v>
      </c>
      <c r="AJ37" s="8">
        <v>0.56999999999999995</v>
      </c>
    </row>
    <row r="38" spans="2:36" x14ac:dyDescent="0.2">
      <c r="B38" s="105"/>
      <c r="C38" s="105"/>
      <c r="D38" s="29">
        <v>47</v>
      </c>
      <c r="E38" s="4"/>
      <c r="F38" s="4"/>
      <c r="G38" s="1"/>
      <c r="H38" s="8"/>
      <c r="I38" s="4">
        <v>50.85</v>
      </c>
      <c r="J38" s="4">
        <v>52.2</v>
      </c>
      <c r="K38" s="1">
        <v>1643.1</v>
      </c>
      <c r="L38" s="8">
        <v>0.65</v>
      </c>
      <c r="M38" s="4">
        <v>51.39</v>
      </c>
      <c r="N38" s="4"/>
      <c r="O38" s="1">
        <v>4861</v>
      </c>
      <c r="P38" s="8">
        <v>0</v>
      </c>
      <c r="Q38" s="4">
        <v>71.63</v>
      </c>
      <c r="R38" s="4">
        <v>69.900000000000006</v>
      </c>
      <c r="S38" s="1">
        <v>1535.4</v>
      </c>
      <c r="T38" s="8">
        <v>0.46</v>
      </c>
      <c r="U38" s="4">
        <v>71.099999999999994</v>
      </c>
      <c r="V38" s="4">
        <v>67.599999999999994</v>
      </c>
      <c r="W38" s="1">
        <v>1840.1</v>
      </c>
      <c r="X38" s="8">
        <v>0.41</v>
      </c>
      <c r="Y38" s="4">
        <v>71.94</v>
      </c>
      <c r="Z38" s="4">
        <v>71.290000000000006</v>
      </c>
      <c r="AA38" s="1">
        <v>1377.9</v>
      </c>
      <c r="AB38" s="8">
        <v>0.49</v>
      </c>
      <c r="AC38" s="4">
        <v>72.150000000000006</v>
      </c>
      <c r="AD38" s="4">
        <v>70.7</v>
      </c>
      <c r="AE38" s="1">
        <v>1500.8</v>
      </c>
      <c r="AF38" s="8">
        <v>0.46</v>
      </c>
      <c r="AG38" s="4">
        <v>72.12</v>
      </c>
      <c r="AH38" s="4">
        <v>70.63</v>
      </c>
      <c r="AI38" s="1">
        <v>1509.1</v>
      </c>
      <c r="AJ38" s="8">
        <v>0.46</v>
      </c>
    </row>
    <row r="39" spans="2:36" x14ac:dyDescent="0.2">
      <c r="B39" s="105"/>
      <c r="C39" s="105"/>
      <c r="D39" s="29">
        <v>50</v>
      </c>
      <c r="E39" s="4"/>
      <c r="F39" s="4"/>
      <c r="G39" s="1"/>
      <c r="H39" s="8"/>
      <c r="I39" s="4">
        <v>45.81</v>
      </c>
      <c r="J39" s="4"/>
      <c r="K39" s="1">
        <v>1726.3</v>
      </c>
      <c r="L39" s="8">
        <v>0.68</v>
      </c>
      <c r="M39" s="4">
        <v>46.47</v>
      </c>
      <c r="N39" s="4">
        <v>53.24</v>
      </c>
      <c r="O39" s="1">
        <v>1275.0999999999999</v>
      </c>
      <c r="P39" s="8">
        <v>0.77</v>
      </c>
      <c r="Q39" s="4">
        <v>59.03</v>
      </c>
      <c r="R39" s="4">
        <v>33.03</v>
      </c>
      <c r="S39" s="1">
        <v>3797.2</v>
      </c>
      <c r="T39" s="8">
        <v>0.14000000000000001</v>
      </c>
      <c r="U39" s="4">
        <v>69.64</v>
      </c>
      <c r="V39" s="4">
        <v>74.05</v>
      </c>
      <c r="W39" s="1">
        <v>528.29999999999995</v>
      </c>
      <c r="X39" s="8">
        <v>0.68</v>
      </c>
      <c r="Y39" s="4">
        <v>72.17</v>
      </c>
      <c r="Z39" s="4">
        <v>71.05</v>
      </c>
      <c r="AA39" s="1">
        <v>1445</v>
      </c>
      <c r="AB39" s="8">
        <v>0.48</v>
      </c>
      <c r="AC39" s="4">
        <v>72.19</v>
      </c>
      <c r="AD39" s="4">
        <v>71.42</v>
      </c>
      <c r="AE39" s="1">
        <v>1387.3</v>
      </c>
      <c r="AF39" s="8">
        <v>0.49</v>
      </c>
      <c r="AG39" s="4">
        <v>72.17</v>
      </c>
      <c r="AH39" s="4">
        <v>71.47</v>
      </c>
      <c r="AI39" s="1">
        <v>1375.4</v>
      </c>
      <c r="AJ39" s="8">
        <v>0.49</v>
      </c>
    </row>
    <row r="40" spans="2:36" x14ac:dyDescent="0.2">
      <c r="B40" s="105"/>
      <c r="C40" s="105"/>
      <c r="D40" s="30">
        <v>91</v>
      </c>
      <c r="E40" s="27"/>
      <c r="F40" s="27"/>
      <c r="G40" s="26"/>
      <c r="H40" s="32"/>
      <c r="I40" s="27">
        <v>53.71</v>
      </c>
      <c r="J40" s="27"/>
      <c r="K40" s="26">
        <v>3759.3</v>
      </c>
      <c r="L40" s="32">
        <v>0.2</v>
      </c>
      <c r="M40" s="27">
        <v>52.39</v>
      </c>
      <c r="N40" s="27">
        <v>66.59</v>
      </c>
      <c r="O40" s="26">
        <v>119.6</v>
      </c>
      <c r="P40" s="32">
        <v>0.94</v>
      </c>
      <c r="Q40" s="27">
        <v>68.680000000000007</v>
      </c>
      <c r="R40" s="27">
        <v>70.25</v>
      </c>
      <c r="S40" s="26">
        <v>1104</v>
      </c>
      <c r="T40" s="32">
        <v>0.57999999999999996</v>
      </c>
      <c r="U40" s="27">
        <v>71.45</v>
      </c>
      <c r="V40" s="27">
        <v>73.03</v>
      </c>
      <c r="W40" s="26">
        <v>993.4</v>
      </c>
      <c r="X40" s="32">
        <v>0.56999999999999995</v>
      </c>
      <c r="Y40" s="27">
        <v>71.930000000000007</v>
      </c>
      <c r="Z40" s="27">
        <v>72.16</v>
      </c>
      <c r="AA40" s="26">
        <v>1222.9000000000001</v>
      </c>
      <c r="AB40" s="32">
        <v>0.52</v>
      </c>
      <c r="AC40" s="27">
        <v>72.08</v>
      </c>
      <c r="AD40" s="27">
        <v>70.91</v>
      </c>
      <c r="AE40" s="26">
        <v>1458.6</v>
      </c>
      <c r="AF40" s="32">
        <v>0.47</v>
      </c>
      <c r="AG40" s="27">
        <v>72.069999999999993</v>
      </c>
      <c r="AH40" s="27">
        <v>70.8</v>
      </c>
      <c r="AI40" s="26">
        <v>1473.9</v>
      </c>
      <c r="AJ40" s="32">
        <v>0.47</v>
      </c>
    </row>
    <row r="41" spans="2:36" x14ac:dyDescent="0.2">
      <c r="B41" s="106"/>
      <c r="C41" s="105"/>
      <c r="D41" s="6" t="s">
        <v>8</v>
      </c>
      <c r="E41" s="7" t="e">
        <f t="shared" ref="E41:AJ41" si="5">AVERAGE(E36:E40)</f>
        <v>#DIV/0!</v>
      </c>
      <c r="F41" s="7" t="e">
        <f t="shared" si="5"/>
        <v>#DIV/0!</v>
      </c>
      <c r="G41" s="35" t="e">
        <f t="shared" si="5"/>
        <v>#DIV/0!</v>
      </c>
      <c r="H41" s="34" t="e">
        <f t="shared" si="5"/>
        <v>#DIV/0!</v>
      </c>
      <c r="I41" s="7">
        <f t="shared" si="5"/>
        <v>50.673999999999999</v>
      </c>
      <c r="J41" s="7">
        <f t="shared" si="5"/>
        <v>49.410000000000004</v>
      </c>
      <c r="K41" s="35">
        <f t="shared" si="5"/>
        <v>2269.54</v>
      </c>
      <c r="L41" s="34">
        <f t="shared" si="5"/>
        <v>0.52600000000000002</v>
      </c>
      <c r="M41" s="7">
        <f t="shared" si="5"/>
        <v>47.948</v>
      </c>
      <c r="N41" s="7">
        <f t="shared" si="5"/>
        <v>49.206666666666671</v>
      </c>
      <c r="O41" s="35">
        <f t="shared" si="5"/>
        <v>2876.6200000000003</v>
      </c>
      <c r="P41" s="34">
        <f t="shared" si="5"/>
        <v>0.43200000000000005</v>
      </c>
      <c r="Q41" s="7">
        <f t="shared" si="5"/>
        <v>65.652000000000015</v>
      </c>
      <c r="R41" s="7">
        <f t="shared" si="5"/>
        <v>61.927999999999997</v>
      </c>
      <c r="S41" s="35">
        <f t="shared" si="5"/>
        <v>1671.6</v>
      </c>
      <c r="T41" s="34">
        <f t="shared" si="5"/>
        <v>0.496</v>
      </c>
      <c r="U41" s="7">
        <f t="shared" si="5"/>
        <v>70.24199999999999</v>
      </c>
      <c r="V41" s="7">
        <f t="shared" si="5"/>
        <v>71.852000000000004</v>
      </c>
      <c r="W41" s="35">
        <f t="shared" si="5"/>
        <v>1019.3799999999999</v>
      </c>
      <c r="X41" s="34">
        <f t="shared" si="5"/>
        <v>0.57799999999999996</v>
      </c>
      <c r="Y41" s="7">
        <f t="shared" si="5"/>
        <v>71.582000000000008</v>
      </c>
      <c r="Z41" s="7">
        <f t="shared" si="5"/>
        <v>71.323999999999998</v>
      </c>
      <c r="AA41" s="35">
        <f t="shared" si="5"/>
        <v>1325.52</v>
      </c>
      <c r="AB41" s="34">
        <f t="shared" si="5"/>
        <v>0.504</v>
      </c>
      <c r="AC41" s="7">
        <f t="shared" si="5"/>
        <v>71.667999999999992</v>
      </c>
      <c r="AD41" s="7">
        <f t="shared" si="5"/>
        <v>71.186000000000007</v>
      </c>
      <c r="AE41" s="35">
        <f t="shared" si="5"/>
        <v>1359.64</v>
      </c>
      <c r="AF41" s="34">
        <f t="shared" si="5"/>
        <v>0.49599999999999989</v>
      </c>
      <c r="AG41" s="7">
        <f t="shared" si="5"/>
        <v>71.655999999999992</v>
      </c>
      <c r="AH41" s="7">
        <f t="shared" si="5"/>
        <v>71.147999999999996</v>
      </c>
      <c r="AI41" s="35">
        <f t="shared" si="5"/>
        <v>1364.36</v>
      </c>
      <c r="AJ41" s="34">
        <f t="shared" si="5"/>
        <v>0.49599999999999989</v>
      </c>
    </row>
    <row r="42" spans="2:36" x14ac:dyDescent="0.2">
      <c r="B42" s="104"/>
      <c r="C42" s="105"/>
      <c r="D42" s="28" t="s">
        <v>48</v>
      </c>
      <c r="E42" s="25"/>
      <c r="F42" s="25"/>
      <c r="G42" s="25"/>
      <c r="H42" s="31"/>
      <c r="I42" s="51">
        <f>STDEV(I11,I17,I23,I29,I35,I41)</f>
        <v>3.2398752445117398</v>
      </c>
      <c r="J42" s="51">
        <f t="shared" ref="J42:M42" si="6">STDEV(J11,J17,J23,J29,J35,J41)</f>
        <v>11.278696224232592</v>
      </c>
      <c r="K42" s="51">
        <f t="shared" si="6"/>
        <v>799.54276129964785</v>
      </c>
      <c r="L42" s="51">
        <f t="shared" si="6"/>
        <v>0.18015654303965772</v>
      </c>
      <c r="M42" s="51">
        <f t="shared" si="6"/>
        <v>9.0130300047579599</v>
      </c>
      <c r="N42" s="51" t="e">
        <f t="shared" ref="N42" si="7">STDEV(N11,N17,N23,N29,N35,N41)</f>
        <v>#DIV/0!</v>
      </c>
      <c r="O42" s="51">
        <f t="shared" ref="O42" si="8">STDEV(O11,O17,O23,O29,O35,O41)</f>
        <v>998.59511854738651</v>
      </c>
      <c r="P42" s="51">
        <f t="shared" ref="P42" si="9">STDEV(P11,P17,P23,P29,P35,P41)</f>
        <v>0.14171755948599563</v>
      </c>
      <c r="Q42" s="51">
        <f t="shared" ref="Q42" si="10">STDEV(Q11,Q17,Q23,Q29,Q35,Q41)</f>
        <v>2.1799829968755788</v>
      </c>
      <c r="R42" s="51">
        <f t="shared" ref="R42" si="11">STDEV(R11,R17,R23,R29,R35,R41)</f>
        <v>3.695353767458081</v>
      </c>
      <c r="S42" s="51">
        <f t="shared" ref="S42" si="12">STDEV(S11,S17,S23,S29,S35,S41)</f>
        <v>171.31268892486233</v>
      </c>
      <c r="T42" s="51">
        <f t="shared" ref="T42" si="13">STDEV(T11,T17,T23,T29,T35,T41)</f>
        <v>2.2489256694401164E-2</v>
      </c>
      <c r="U42" s="51">
        <f t="shared" ref="U42" si="14">STDEV(U11,U17,U23,U29,U35,U41)</f>
        <v>0.47024532604447078</v>
      </c>
      <c r="V42" s="51">
        <f t="shared" ref="V42" si="15">STDEV(V11,V17,V23,V29,V35,V41)</f>
        <v>0.55557789732854135</v>
      </c>
      <c r="W42" s="51">
        <f t="shared" ref="W42" si="16">STDEV(W11,W17,W23,W29,W35,W41)</f>
        <v>141.76062495159502</v>
      </c>
      <c r="X42" s="51">
        <f t="shared" ref="X42" si="17">STDEV(X11,X17,X23,X29,X35,X41)</f>
        <v>3.1654067669100616E-2</v>
      </c>
      <c r="Y42" s="51">
        <f t="shared" ref="Y42" si="18">STDEV(Y11,Y17,Y23,Y29,Y35,Y41)</f>
        <v>2.7954725301222238E-2</v>
      </c>
      <c r="Z42" s="51">
        <f t="shared" ref="Z42" si="19">STDEV(Z11,Z17,Z23,Z29,Z35,Z41)</f>
        <v>7.7598109942616969E-2</v>
      </c>
      <c r="AA42" s="51">
        <f t="shared" ref="AA42" si="20">STDEV(AA11,AA17,AA23,AA29,AA35,AA41)</f>
        <v>14.848682096401655</v>
      </c>
      <c r="AB42" s="51">
        <f t="shared" ref="AB42" si="21">STDEV(AB11,AB17,AB23,AB29,AB35,AB41)</f>
        <v>2.3790754506740836E-3</v>
      </c>
      <c r="AC42" s="51">
        <f t="shared" ref="AC42" si="22">STDEV(AC11,AC17,AC23,AC29,AC35,AC41)</f>
        <v>7.8655366419975222E-3</v>
      </c>
      <c r="AD42" s="51">
        <f t="shared" ref="AD42" si="23">STDEV(AD11,AD17,AD23,AD29,AD35,AD41)</f>
        <v>3.3124009419148386E-2</v>
      </c>
      <c r="AE42" s="51">
        <f t="shared" ref="AE42" si="24">STDEV(AE11,AE17,AE23,AE29,AE35,AE41)</f>
        <v>5.299399966033902</v>
      </c>
      <c r="AF42" s="51">
        <f t="shared" ref="AF42" si="25">STDEV(AF11,AF17,AF23,AF29,AF35,AF41)</f>
        <v>7.3484692283498567E-4</v>
      </c>
      <c r="AG42" s="51">
        <f t="shared" ref="AG42" si="26">STDEV(AG11,AG17,AG23,AG29,AG35,AG41)</f>
        <v>5.7154760664945197E-3</v>
      </c>
      <c r="AH42" s="51">
        <f t="shared" ref="AH42" si="27">STDEV(AH11,AH17,AH23,AH29,AH35,AH41)</f>
        <v>2.1001587241607039E-2</v>
      </c>
      <c r="AI42" s="51">
        <f t="shared" ref="AI42" si="28">STDEV(AI11,AI17,AI23,AI29,AI35,AI41)</f>
        <v>2.8246557312351892</v>
      </c>
      <c r="AJ42" s="51">
        <f t="shared" ref="AJ42" si="29">STDEV(AJ11,AJ17,AJ23,AJ29,AJ35,AJ41)</f>
        <v>6.5319726474219952E-4</v>
      </c>
    </row>
    <row r="43" spans="2:36" x14ac:dyDescent="0.2">
      <c r="B43" s="105"/>
      <c r="C43" s="105"/>
      <c r="D43" s="29"/>
      <c r="E43" s="4"/>
      <c r="F43" s="4"/>
      <c r="G43" s="1"/>
      <c r="H43" s="33"/>
      <c r="I43" s="4"/>
      <c r="J43" s="4"/>
      <c r="K43" s="1"/>
      <c r="L43" s="33"/>
      <c r="M43" s="4"/>
      <c r="N43" s="4"/>
      <c r="O43" s="1"/>
      <c r="P43" s="33"/>
      <c r="Q43" s="4"/>
      <c r="R43" s="4"/>
      <c r="S43" s="1"/>
      <c r="T43" s="33"/>
      <c r="U43" s="4"/>
      <c r="V43" s="4"/>
      <c r="W43" s="1"/>
      <c r="X43" s="33"/>
      <c r="Y43" s="4"/>
      <c r="Z43" s="4"/>
      <c r="AA43" s="1"/>
      <c r="AB43" s="33"/>
      <c r="AC43" s="4"/>
      <c r="AD43" s="4"/>
      <c r="AE43" s="1"/>
      <c r="AF43" s="33"/>
      <c r="AG43" s="4"/>
      <c r="AH43" s="4"/>
      <c r="AI43" s="1"/>
      <c r="AJ43" s="33"/>
    </row>
    <row r="44" spans="2:36" x14ac:dyDescent="0.2">
      <c r="B44" s="105"/>
      <c r="C44" s="105"/>
      <c r="D44" s="29"/>
      <c r="E44" s="4"/>
      <c r="F44" s="4"/>
      <c r="G44" s="1"/>
      <c r="H44" s="8"/>
      <c r="I44" s="4"/>
      <c r="J44" s="4"/>
      <c r="K44" s="1"/>
      <c r="L44" s="8"/>
      <c r="M44" s="4"/>
      <c r="N44" s="4"/>
      <c r="O44" s="1"/>
      <c r="P44" s="8"/>
      <c r="Q44" s="4"/>
      <c r="R44" s="4"/>
      <c r="S44" s="1"/>
      <c r="T44" s="8"/>
      <c r="U44" s="4"/>
      <c r="V44" s="4"/>
      <c r="W44" s="1"/>
      <c r="X44" s="8"/>
      <c r="Y44" s="4"/>
      <c r="Z44" s="4"/>
      <c r="AA44" s="1"/>
      <c r="AB44" s="8"/>
      <c r="AC44" s="4"/>
      <c r="AD44" s="4"/>
      <c r="AE44" s="1"/>
      <c r="AF44" s="8"/>
      <c r="AG44" s="4"/>
      <c r="AH44" s="4"/>
      <c r="AI44" s="1"/>
      <c r="AJ44" s="8"/>
    </row>
    <row r="45" spans="2:36" x14ac:dyDescent="0.2">
      <c r="B45" s="105"/>
      <c r="C45" s="105"/>
      <c r="D45" s="29"/>
      <c r="E45" s="4"/>
      <c r="F45" s="4"/>
      <c r="G45" s="1"/>
      <c r="H45" s="8"/>
      <c r="I45" s="4"/>
      <c r="J45" s="4"/>
      <c r="K45" s="1"/>
      <c r="L45" s="8"/>
      <c r="M45" s="4"/>
      <c r="N45" s="4"/>
      <c r="O45" s="1"/>
      <c r="P45" s="8"/>
      <c r="Q45" s="4"/>
      <c r="R45" s="4"/>
      <c r="S45" s="1"/>
      <c r="T45" s="8"/>
      <c r="U45" s="4"/>
      <c r="V45" s="4"/>
      <c r="W45" s="1"/>
      <c r="X45" s="8"/>
      <c r="Y45" s="4"/>
      <c r="Z45" s="4"/>
      <c r="AA45" s="1"/>
      <c r="AB45" s="8"/>
      <c r="AC45" s="4"/>
      <c r="AD45" s="4"/>
      <c r="AE45" s="1"/>
      <c r="AF45" s="8"/>
      <c r="AG45" s="4"/>
      <c r="AH45" s="4"/>
      <c r="AI45" s="1"/>
      <c r="AJ45" s="8"/>
    </row>
    <row r="46" spans="2:36" x14ac:dyDescent="0.2">
      <c r="B46" s="105"/>
      <c r="C46" s="105"/>
      <c r="D46" s="30"/>
      <c r="E46" s="27"/>
      <c r="F46" s="27"/>
      <c r="G46" s="26"/>
      <c r="H46" s="32"/>
      <c r="I46" s="27"/>
      <c r="J46" s="27"/>
      <c r="K46" s="26"/>
      <c r="L46" s="32"/>
      <c r="M46" s="27"/>
      <c r="N46" s="27"/>
      <c r="O46" s="26"/>
      <c r="P46" s="32"/>
      <c r="Q46" s="27"/>
      <c r="R46" s="27"/>
      <c r="S46" s="26"/>
      <c r="T46" s="32"/>
      <c r="U46" s="27"/>
      <c r="V46" s="27"/>
      <c r="W46" s="26"/>
      <c r="X46" s="32"/>
      <c r="Y46" s="27"/>
      <c r="Z46" s="27"/>
      <c r="AA46" s="26"/>
      <c r="AB46" s="32"/>
      <c r="AC46" s="27"/>
      <c r="AD46" s="27"/>
      <c r="AE46" s="26"/>
      <c r="AF46" s="32"/>
      <c r="AG46" s="27"/>
      <c r="AH46" s="27"/>
      <c r="AI46" s="26"/>
      <c r="AJ46" s="32"/>
    </row>
    <row r="47" spans="2:36" x14ac:dyDescent="0.2">
      <c r="B47" s="106"/>
      <c r="C47" s="106"/>
      <c r="D47" s="6"/>
      <c r="E47" s="7"/>
      <c r="F47" s="7"/>
      <c r="G47" s="35"/>
      <c r="H47" s="34"/>
      <c r="I47" s="7"/>
      <c r="J47" s="7"/>
      <c r="K47" s="35"/>
      <c r="L47" s="34"/>
      <c r="M47" s="7"/>
      <c r="N47" s="7"/>
      <c r="O47" s="35"/>
      <c r="P47" s="34"/>
      <c r="Q47" s="7"/>
      <c r="R47" s="7"/>
      <c r="S47" s="35"/>
      <c r="T47" s="34"/>
      <c r="U47" s="7"/>
      <c r="V47" s="7"/>
      <c r="W47" s="35"/>
      <c r="X47" s="34"/>
      <c r="Y47" s="7"/>
      <c r="Z47" s="7"/>
      <c r="AA47" s="35"/>
      <c r="AB47" s="34"/>
      <c r="AC47" s="7"/>
      <c r="AD47" s="7"/>
      <c r="AE47" s="35"/>
      <c r="AF47" s="34"/>
      <c r="AG47" s="7"/>
      <c r="AH47" s="7"/>
      <c r="AI47" s="35"/>
      <c r="AJ47" s="34"/>
    </row>
    <row r="49" spans="1:36" x14ac:dyDescent="0.2">
      <c r="A49" t="s">
        <v>49</v>
      </c>
    </row>
    <row r="51" spans="1:36" x14ac:dyDescent="0.2">
      <c r="B51" s="100" t="s">
        <v>48</v>
      </c>
      <c r="C51" s="107" t="s">
        <v>0</v>
      </c>
      <c r="D51" s="108"/>
      <c r="E51" s="108"/>
      <c r="F51" s="108"/>
      <c r="G51" s="108"/>
      <c r="H51" s="111"/>
      <c r="I51" s="107" t="s">
        <v>30</v>
      </c>
      <c r="J51" s="108"/>
      <c r="K51" s="108"/>
      <c r="L51" s="108"/>
      <c r="M51" s="107" t="s">
        <v>31</v>
      </c>
      <c r="N51" s="108"/>
      <c r="O51" s="108"/>
      <c r="P51" s="108"/>
      <c r="Q51" s="107" t="s">
        <v>32</v>
      </c>
      <c r="R51" s="108"/>
      <c r="S51" s="108"/>
      <c r="T51" s="108"/>
      <c r="U51" s="107" t="s">
        <v>33</v>
      </c>
      <c r="V51" s="108"/>
      <c r="W51" s="108"/>
      <c r="X51" s="108"/>
      <c r="Y51" s="107" t="s">
        <v>34</v>
      </c>
      <c r="Z51" s="108"/>
      <c r="AA51" s="108"/>
      <c r="AB51" s="108"/>
      <c r="AC51" s="107" t="s">
        <v>35</v>
      </c>
      <c r="AD51" s="108"/>
      <c r="AE51" s="108"/>
      <c r="AF51" s="108"/>
      <c r="AG51" s="107" t="s">
        <v>36</v>
      </c>
      <c r="AH51" s="108"/>
      <c r="AI51" s="108"/>
      <c r="AJ51" s="108"/>
    </row>
    <row r="52" spans="1:36" x14ac:dyDescent="0.2">
      <c r="B52" s="101"/>
      <c r="C52" s="19" t="s">
        <v>3</v>
      </c>
      <c r="D52" s="1" t="s">
        <v>4</v>
      </c>
      <c r="E52" s="1" t="s">
        <v>6</v>
      </c>
      <c r="F52" s="2" t="s">
        <v>7</v>
      </c>
      <c r="G52" s="1" t="s">
        <v>24</v>
      </c>
      <c r="H52" s="8" t="s">
        <v>25</v>
      </c>
      <c r="I52" s="1" t="s">
        <v>6</v>
      </c>
      <c r="J52" s="2" t="s">
        <v>7</v>
      </c>
      <c r="K52" s="1" t="s">
        <v>24</v>
      </c>
      <c r="L52" s="8" t="s">
        <v>25</v>
      </c>
      <c r="M52" s="1" t="s">
        <v>6</v>
      </c>
      <c r="N52" s="2" t="s">
        <v>7</v>
      </c>
      <c r="O52" s="1" t="s">
        <v>24</v>
      </c>
      <c r="P52" s="8" t="s">
        <v>25</v>
      </c>
      <c r="Q52" s="1" t="s">
        <v>6</v>
      </c>
      <c r="R52" s="2" t="s">
        <v>7</v>
      </c>
      <c r="S52" s="1" t="s">
        <v>24</v>
      </c>
      <c r="T52" s="8" t="s">
        <v>25</v>
      </c>
      <c r="U52" s="1" t="s">
        <v>6</v>
      </c>
      <c r="V52" s="2" t="s">
        <v>7</v>
      </c>
      <c r="W52" s="1" t="s">
        <v>24</v>
      </c>
      <c r="X52" s="8" t="s">
        <v>25</v>
      </c>
      <c r="Y52" s="1" t="s">
        <v>6</v>
      </c>
      <c r="Z52" s="2" t="s">
        <v>7</v>
      </c>
      <c r="AA52" s="1" t="s">
        <v>24</v>
      </c>
      <c r="AB52" s="8" t="s">
        <v>25</v>
      </c>
      <c r="AC52" s="1" t="s">
        <v>6</v>
      </c>
      <c r="AD52" s="2" t="s">
        <v>7</v>
      </c>
      <c r="AE52" s="1" t="s">
        <v>24</v>
      </c>
      <c r="AF52" s="8" t="s">
        <v>25</v>
      </c>
      <c r="AG52" s="1" t="s">
        <v>6</v>
      </c>
      <c r="AH52" s="2" t="s">
        <v>7</v>
      </c>
      <c r="AI52" s="1" t="s">
        <v>24</v>
      </c>
      <c r="AJ52" s="8" t="s">
        <v>25</v>
      </c>
    </row>
    <row r="53" spans="1:36" x14ac:dyDescent="0.2">
      <c r="B53" s="102">
        <v>0</v>
      </c>
      <c r="C53" s="104">
        <v>8</v>
      </c>
      <c r="D53" s="28">
        <v>13</v>
      </c>
      <c r="E53" s="25">
        <v>71.84</v>
      </c>
      <c r="F53" s="25">
        <v>71.459999999999994</v>
      </c>
      <c r="G53" s="25">
        <v>1335</v>
      </c>
      <c r="H53" s="31">
        <v>0.501</v>
      </c>
      <c r="I53" s="25">
        <v>48.64</v>
      </c>
      <c r="J53" s="25">
        <v>65.430000000000007</v>
      </c>
      <c r="K53" s="25">
        <v>0</v>
      </c>
      <c r="L53" s="31">
        <v>0.999</v>
      </c>
      <c r="M53" s="25">
        <v>70.69</v>
      </c>
      <c r="N53" s="25">
        <v>67.400000000000006</v>
      </c>
      <c r="O53" s="25">
        <v>1831</v>
      </c>
      <c r="P53" s="31">
        <v>0.41299999999999998</v>
      </c>
      <c r="Q53" s="25">
        <v>71.58</v>
      </c>
      <c r="R53" s="25">
        <v>73.25</v>
      </c>
      <c r="S53" s="25">
        <v>969</v>
      </c>
      <c r="T53" s="31">
        <v>0.57499999999999996</v>
      </c>
      <c r="U53" s="25">
        <v>71.790000000000006</v>
      </c>
      <c r="V53" s="25">
        <v>71.23</v>
      </c>
      <c r="W53" s="25">
        <v>1368</v>
      </c>
      <c r="X53" s="31">
        <v>0.495</v>
      </c>
      <c r="Y53" s="25">
        <v>71.89</v>
      </c>
      <c r="Z53" s="25">
        <v>71.64</v>
      </c>
      <c r="AA53" s="25">
        <v>1311</v>
      </c>
      <c r="AB53" s="31">
        <v>0.505</v>
      </c>
      <c r="AC53" s="25">
        <v>71.83</v>
      </c>
      <c r="AD53" s="25">
        <v>71.459999999999994</v>
      </c>
      <c r="AE53" s="25">
        <v>1334</v>
      </c>
      <c r="AF53" s="31">
        <v>0.501</v>
      </c>
      <c r="AG53" s="25">
        <v>71.84</v>
      </c>
      <c r="AH53" s="25">
        <v>71.47</v>
      </c>
      <c r="AI53" s="25">
        <v>1334</v>
      </c>
      <c r="AJ53" s="31">
        <v>0.501</v>
      </c>
    </row>
    <row r="54" spans="1:36" x14ac:dyDescent="0.2">
      <c r="B54" s="103"/>
      <c r="C54" s="105"/>
      <c r="D54" s="29">
        <v>21</v>
      </c>
      <c r="E54" s="4">
        <v>70.22</v>
      </c>
      <c r="F54" s="4">
        <v>71.25</v>
      </c>
      <c r="G54" s="1">
        <v>1170</v>
      </c>
      <c r="H54" s="33">
        <v>0.55000000000000004</v>
      </c>
      <c r="I54" s="4">
        <v>69.69</v>
      </c>
      <c r="J54" s="4">
        <v>71.650000000000006</v>
      </c>
      <c r="K54" s="1">
        <v>1031</v>
      </c>
      <c r="L54" s="33">
        <v>0.58299999999999996</v>
      </c>
      <c r="M54" s="4">
        <v>69.77</v>
      </c>
      <c r="N54" s="4">
        <v>72.430000000000007</v>
      </c>
      <c r="O54" s="1">
        <v>891</v>
      </c>
      <c r="P54" s="33">
        <v>0.61</v>
      </c>
      <c r="Q54" s="4">
        <v>70.19</v>
      </c>
      <c r="R54" s="4">
        <v>71.34</v>
      </c>
      <c r="S54" s="1">
        <v>1150</v>
      </c>
      <c r="T54" s="33">
        <v>0.55400000000000005</v>
      </c>
      <c r="U54" s="4">
        <v>70.209999999999994</v>
      </c>
      <c r="V54" s="4">
        <v>71.3</v>
      </c>
      <c r="W54" s="1">
        <v>1161</v>
      </c>
      <c r="X54" s="33">
        <v>0.55200000000000005</v>
      </c>
      <c r="Y54" s="4">
        <v>70.22</v>
      </c>
      <c r="Z54" s="4">
        <v>71.23</v>
      </c>
      <c r="AA54" s="1">
        <v>1175</v>
      </c>
      <c r="AB54" s="33">
        <v>0.54900000000000004</v>
      </c>
      <c r="AC54" s="4">
        <v>70.22</v>
      </c>
      <c r="AD54" s="4">
        <v>71.27</v>
      </c>
      <c r="AE54" s="1">
        <v>1168</v>
      </c>
      <c r="AF54" s="33">
        <v>0.55000000000000004</v>
      </c>
      <c r="AG54" s="4">
        <v>70.22</v>
      </c>
      <c r="AH54" s="4">
        <v>71.25</v>
      </c>
      <c r="AI54" s="1">
        <v>1170</v>
      </c>
      <c r="AJ54" s="33">
        <v>0.54900000000000004</v>
      </c>
    </row>
    <row r="55" spans="1:36" x14ac:dyDescent="0.2">
      <c r="B55" s="103"/>
      <c r="C55" s="105"/>
      <c r="D55" s="29">
        <v>47</v>
      </c>
      <c r="E55" s="4">
        <v>71.67</v>
      </c>
      <c r="F55" s="4">
        <v>72.34</v>
      </c>
      <c r="G55" s="1">
        <v>1156</v>
      </c>
      <c r="H55" s="8">
        <v>0.53800000000000003</v>
      </c>
      <c r="I55" s="4">
        <v>55.11</v>
      </c>
      <c r="J55" s="4">
        <v>68.17</v>
      </c>
      <c r="K55" s="1">
        <v>53</v>
      </c>
      <c r="L55" s="8">
        <v>0.92400000000000004</v>
      </c>
      <c r="M55" s="4">
        <v>70.989999999999995</v>
      </c>
      <c r="N55" s="4">
        <v>73.91</v>
      </c>
      <c r="O55" s="1">
        <v>752</v>
      </c>
      <c r="P55" s="8">
        <v>0.626</v>
      </c>
      <c r="Q55" s="4">
        <v>71.61</v>
      </c>
      <c r="R55" s="4">
        <v>71.98</v>
      </c>
      <c r="S55" s="1">
        <v>1215</v>
      </c>
      <c r="T55" s="8">
        <v>0.52700000000000002</v>
      </c>
      <c r="U55" s="4">
        <v>71.64</v>
      </c>
      <c r="V55" s="4">
        <v>72.19</v>
      </c>
      <c r="W55" s="1">
        <v>1181</v>
      </c>
      <c r="X55" s="8">
        <v>0.53400000000000003</v>
      </c>
      <c r="Y55" s="4">
        <v>71.650000000000006</v>
      </c>
      <c r="Z55" s="4">
        <v>72.349999999999994</v>
      </c>
      <c r="AA55" s="1">
        <v>1151</v>
      </c>
      <c r="AB55" s="8">
        <v>0.53900000000000003</v>
      </c>
      <c r="AC55" s="4">
        <v>71.67</v>
      </c>
      <c r="AD55" s="4">
        <v>72.34</v>
      </c>
      <c r="AE55" s="1">
        <v>1156</v>
      </c>
      <c r="AF55" s="8">
        <v>0.53800000000000003</v>
      </c>
      <c r="AG55" s="4">
        <v>71.67</v>
      </c>
      <c r="AH55" s="4">
        <v>72.34</v>
      </c>
      <c r="AI55" s="1">
        <v>1156</v>
      </c>
      <c r="AJ55" s="8">
        <v>0.53800000000000003</v>
      </c>
    </row>
    <row r="56" spans="1:36" x14ac:dyDescent="0.2">
      <c r="B56" s="103"/>
      <c r="C56" s="105"/>
      <c r="D56" s="29">
        <v>50</v>
      </c>
      <c r="E56" s="4">
        <v>70.52</v>
      </c>
      <c r="F56" s="4">
        <v>73.09</v>
      </c>
      <c r="G56" s="1">
        <v>858</v>
      </c>
      <c r="H56" s="8">
        <v>0.60899999999999999</v>
      </c>
      <c r="I56" s="4">
        <v>68.930000000000007</v>
      </c>
      <c r="J56" s="4">
        <v>67.430000000000007</v>
      </c>
      <c r="K56" s="1">
        <v>1645</v>
      </c>
      <c r="L56" s="8">
        <v>0.46800000000000003</v>
      </c>
      <c r="M56" s="4">
        <v>70.069999999999993</v>
      </c>
      <c r="N56" s="4">
        <v>72.69</v>
      </c>
      <c r="O56" s="1">
        <v>878</v>
      </c>
      <c r="P56" s="8">
        <v>0.61</v>
      </c>
      <c r="Q56" s="4">
        <v>70.959999999999994</v>
      </c>
      <c r="R56" s="4">
        <v>71.87</v>
      </c>
      <c r="S56" s="1">
        <v>1152</v>
      </c>
      <c r="T56" s="8">
        <v>0.54600000000000004</v>
      </c>
      <c r="U56" s="4">
        <v>70.510000000000005</v>
      </c>
      <c r="V56" s="4">
        <v>73.37</v>
      </c>
      <c r="W56" s="1">
        <v>798</v>
      </c>
      <c r="X56" s="8">
        <v>0.621</v>
      </c>
      <c r="Y56" s="4">
        <v>70.5</v>
      </c>
      <c r="Z56" s="4">
        <v>73.040000000000006</v>
      </c>
      <c r="AA56" s="1">
        <v>865</v>
      </c>
      <c r="AB56" s="8">
        <v>0.60899999999999999</v>
      </c>
      <c r="AC56" s="4">
        <v>70.52</v>
      </c>
      <c r="AD56" s="4">
        <v>73.09</v>
      </c>
      <c r="AE56" s="1">
        <v>858</v>
      </c>
      <c r="AF56" s="8">
        <v>0.60899999999999999</v>
      </c>
      <c r="AG56" s="4">
        <v>70.52</v>
      </c>
      <c r="AH56" s="4">
        <v>73.09</v>
      </c>
      <c r="AI56" s="1">
        <v>858</v>
      </c>
      <c r="AJ56" s="8">
        <v>0.60899999999999999</v>
      </c>
    </row>
    <row r="57" spans="1:36" x14ac:dyDescent="0.2">
      <c r="B57" s="103"/>
      <c r="C57" s="105"/>
      <c r="D57" s="30">
        <v>91</v>
      </c>
      <c r="E57" s="27">
        <v>71.77</v>
      </c>
      <c r="F57" s="27">
        <v>72.12</v>
      </c>
      <c r="G57" s="26">
        <v>1209</v>
      </c>
      <c r="H57" s="32">
        <v>0.52700000000000002</v>
      </c>
      <c r="I57" s="27">
        <v>70.53</v>
      </c>
      <c r="J57" s="27">
        <v>68.81</v>
      </c>
      <c r="K57" s="26">
        <v>1610</v>
      </c>
      <c r="L57" s="32">
        <v>0.45900000000000002</v>
      </c>
      <c r="M57" s="27">
        <v>65.290000000000006</v>
      </c>
      <c r="N57" s="27">
        <v>51.91</v>
      </c>
      <c r="O57" s="26">
        <v>2988</v>
      </c>
      <c r="P57" s="32">
        <v>0.23599999999999999</v>
      </c>
      <c r="Q57" s="27">
        <v>71.47</v>
      </c>
      <c r="R57" s="27">
        <v>72.53</v>
      </c>
      <c r="S57" s="26">
        <v>1095</v>
      </c>
      <c r="T57" s="32">
        <v>0.55200000000000005</v>
      </c>
      <c r="U57" s="27">
        <v>71.819999999999993</v>
      </c>
      <c r="V57" s="27">
        <v>71.83</v>
      </c>
      <c r="W57" s="26">
        <v>1269</v>
      </c>
      <c r="X57" s="32">
        <v>0.51400000000000001</v>
      </c>
      <c r="Y57" s="27">
        <v>71.739999999999995</v>
      </c>
      <c r="Z57" s="27">
        <v>72.099999999999994</v>
      </c>
      <c r="AA57" s="26">
        <v>1209</v>
      </c>
      <c r="AB57" s="32">
        <v>0.52700000000000002</v>
      </c>
      <c r="AC57" s="27">
        <v>71.790000000000006</v>
      </c>
      <c r="AD57" s="27">
        <v>72.14</v>
      </c>
      <c r="AE57" s="26">
        <v>1209</v>
      </c>
      <c r="AF57" s="32">
        <v>0.52600000000000002</v>
      </c>
      <c r="AG57" s="27">
        <v>71.760000000000005</v>
      </c>
      <c r="AH57" s="27">
        <v>72.12</v>
      </c>
      <c r="AI57" s="26">
        <v>1209</v>
      </c>
      <c r="AJ57" s="32">
        <v>0.52700000000000002</v>
      </c>
    </row>
    <row r="58" spans="1:36" x14ac:dyDescent="0.2">
      <c r="B58" s="101"/>
      <c r="C58" s="105"/>
      <c r="D58" s="6" t="s">
        <v>8</v>
      </c>
      <c r="E58" s="7">
        <f t="shared" ref="E58:AJ58" si="30">AVERAGE(E53:E57)</f>
        <v>71.203999999999994</v>
      </c>
      <c r="F58" s="7">
        <f t="shared" si="30"/>
        <v>72.051999999999992</v>
      </c>
      <c r="G58" s="35">
        <f t="shared" si="30"/>
        <v>1145.5999999999999</v>
      </c>
      <c r="H58" s="34">
        <f t="shared" si="30"/>
        <v>0.54500000000000015</v>
      </c>
      <c r="I58" s="7">
        <f t="shared" si="30"/>
        <v>62.58</v>
      </c>
      <c r="J58" s="7">
        <f t="shared" si="30"/>
        <v>68.298000000000002</v>
      </c>
      <c r="K58" s="35">
        <f t="shared" si="30"/>
        <v>867.8</v>
      </c>
      <c r="L58" s="34">
        <f t="shared" si="30"/>
        <v>0.68659999999999999</v>
      </c>
      <c r="M58" s="7">
        <f t="shared" si="30"/>
        <v>69.361999999999995</v>
      </c>
      <c r="N58" s="7">
        <f t="shared" si="30"/>
        <v>67.668000000000006</v>
      </c>
      <c r="O58" s="35">
        <f t="shared" si="30"/>
        <v>1468</v>
      </c>
      <c r="P58" s="34">
        <f t="shared" si="30"/>
        <v>0.499</v>
      </c>
      <c r="Q58" s="7">
        <f t="shared" si="30"/>
        <v>71.161999999999992</v>
      </c>
      <c r="R58" s="7">
        <f t="shared" si="30"/>
        <v>72.194000000000003</v>
      </c>
      <c r="S58" s="35">
        <f t="shared" si="30"/>
        <v>1116.2</v>
      </c>
      <c r="T58" s="34">
        <f t="shared" si="30"/>
        <v>0.55079999999999996</v>
      </c>
      <c r="U58" s="7">
        <f t="shared" si="30"/>
        <v>71.193999999999988</v>
      </c>
      <c r="V58" s="7">
        <f t="shared" si="30"/>
        <v>71.984000000000009</v>
      </c>
      <c r="W58" s="35">
        <f t="shared" si="30"/>
        <v>1155.4000000000001</v>
      </c>
      <c r="X58" s="34">
        <f t="shared" si="30"/>
        <v>0.54320000000000002</v>
      </c>
      <c r="Y58" s="7">
        <f t="shared" si="30"/>
        <v>71.2</v>
      </c>
      <c r="Z58" s="7">
        <f t="shared" si="30"/>
        <v>72.072000000000003</v>
      </c>
      <c r="AA58" s="35">
        <f t="shared" si="30"/>
        <v>1142.2</v>
      </c>
      <c r="AB58" s="34">
        <f t="shared" si="30"/>
        <v>0.54580000000000006</v>
      </c>
      <c r="AC58" s="7">
        <f t="shared" si="30"/>
        <v>71.206000000000003</v>
      </c>
      <c r="AD58" s="7">
        <f t="shared" si="30"/>
        <v>72.059999999999988</v>
      </c>
      <c r="AE58" s="35">
        <f t="shared" si="30"/>
        <v>1145</v>
      </c>
      <c r="AF58" s="34">
        <f t="shared" si="30"/>
        <v>0.54480000000000006</v>
      </c>
      <c r="AG58" s="7">
        <f t="shared" si="30"/>
        <v>71.201999999999998</v>
      </c>
      <c r="AH58" s="7">
        <f t="shared" si="30"/>
        <v>72.054000000000002</v>
      </c>
      <c r="AI58" s="35">
        <f t="shared" si="30"/>
        <v>1145.4000000000001</v>
      </c>
      <c r="AJ58" s="34">
        <f t="shared" si="30"/>
        <v>0.54480000000000006</v>
      </c>
    </row>
    <row r="59" spans="1:36" x14ac:dyDescent="0.2">
      <c r="B59" s="104">
        <v>0.2</v>
      </c>
      <c r="C59" s="105"/>
      <c r="D59" s="28">
        <v>13</v>
      </c>
      <c r="E59" s="62"/>
      <c r="F59" s="62"/>
      <c r="G59" s="63"/>
      <c r="H59" s="81"/>
      <c r="I59" s="4">
        <v>53.57</v>
      </c>
      <c r="J59" s="4">
        <v>62.3</v>
      </c>
      <c r="K59" s="82">
        <v>711.8</v>
      </c>
      <c r="L59" s="33">
        <v>0.81</v>
      </c>
      <c r="M59" s="4">
        <v>69.89</v>
      </c>
      <c r="N59" s="4">
        <v>73.05</v>
      </c>
      <c r="O59" s="82">
        <v>773.3</v>
      </c>
      <c r="P59" s="33">
        <v>0.63</v>
      </c>
      <c r="Q59" s="4">
        <v>71.84</v>
      </c>
      <c r="R59" s="4">
        <v>71.48</v>
      </c>
      <c r="S59" s="82">
        <v>1325.6</v>
      </c>
      <c r="T59" s="33">
        <v>0.5</v>
      </c>
      <c r="U59" s="4">
        <v>71.8</v>
      </c>
      <c r="V59" s="4">
        <v>71.88</v>
      </c>
      <c r="W59" s="82">
        <v>1256.4000000000001</v>
      </c>
      <c r="X59" s="33">
        <v>0.52</v>
      </c>
      <c r="Y59" s="4">
        <v>71.849999999999994</v>
      </c>
      <c r="Z59" s="4">
        <v>71.42</v>
      </c>
      <c r="AA59" s="82">
        <v>1344</v>
      </c>
      <c r="AB59" s="33">
        <v>0.5</v>
      </c>
      <c r="AC59" s="4">
        <v>71.849999999999994</v>
      </c>
      <c r="AD59" s="4">
        <v>71.5</v>
      </c>
      <c r="AE59" s="82">
        <v>1330</v>
      </c>
      <c r="AF59" s="33">
        <v>0.5</v>
      </c>
      <c r="AG59" s="4">
        <v>71.819999999999993</v>
      </c>
      <c r="AH59" s="4">
        <v>71.44</v>
      </c>
      <c r="AI59" s="82">
        <v>1336.3</v>
      </c>
      <c r="AJ59" s="33">
        <v>0.5</v>
      </c>
    </row>
    <row r="60" spans="1:36" x14ac:dyDescent="0.2">
      <c r="B60" s="105"/>
      <c r="C60" s="105"/>
      <c r="D60" s="29">
        <v>21</v>
      </c>
      <c r="E60" s="62"/>
      <c r="F60" s="62"/>
      <c r="G60" s="63"/>
      <c r="H60" s="81"/>
      <c r="I60" s="4">
        <v>58.93</v>
      </c>
      <c r="J60" s="4"/>
      <c r="K60" s="82">
        <v>2921.4</v>
      </c>
      <c r="L60" s="33">
        <v>0.31</v>
      </c>
      <c r="M60" s="4">
        <v>69.75</v>
      </c>
      <c r="N60" s="4">
        <v>72.67</v>
      </c>
      <c r="O60" s="82">
        <v>836.5</v>
      </c>
      <c r="P60" s="33">
        <v>0.62</v>
      </c>
      <c r="Q60" s="4">
        <v>69.88</v>
      </c>
      <c r="R60" s="4">
        <v>71.84</v>
      </c>
      <c r="S60" s="82">
        <v>1017.6</v>
      </c>
      <c r="T60" s="33">
        <v>0.57999999999999996</v>
      </c>
      <c r="U60" s="4">
        <v>70.239999999999995</v>
      </c>
      <c r="V60" s="4">
        <v>71.510000000000005</v>
      </c>
      <c r="W60" s="82">
        <v>1126.8</v>
      </c>
      <c r="X60" s="33">
        <v>0.56000000000000005</v>
      </c>
      <c r="Y60" s="4">
        <v>70.27</v>
      </c>
      <c r="Z60" s="4">
        <v>71.16</v>
      </c>
      <c r="AA60" s="82">
        <v>1192.5</v>
      </c>
      <c r="AB60" s="33">
        <v>0.54</v>
      </c>
      <c r="AC60" s="4">
        <v>70.209999999999994</v>
      </c>
      <c r="AD60" s="4">
        <v>71.25</v>
      </c>
      <c r="AE60" s="82">
        <v>1170</v>
      </c>
      <c r="AF60" s="33">
        <v>0.55000000000000004</v>
      </c>
      <c r="AG60" s="4">
        <v>70.209999999999994</v>
      </c>
      <c r="AH60" s="4">
        <v>71.25</v>
      </c>
      <c r="AI60" s="82">
        <v>1170</v>
      </c>
      <c r="AJ60" s="33">
        <v>0.55000000000000004</v>
      </c>
    </row>
    <row r="61" spans="1:36" x14ac:dyDescent="0.2">
      <c r="B61" s="105"/>
      <c r="C61" s="105"/>
      <c r="D61" s="29">
        <v>47</v>
      </c>
      <c r="E61" s="62"/>
      <c r="F61" s="62"/>
      <c r="G61" s="63"/>
      <c r="H61" s="81"/>
      <c r="I61" s="4">
        <v>56.73</v>
      </c>
      <c r="J61" s="4"/>
      <c r="K61" s="82">
        <v>3226.6</v>
      </c>
      <c r="L61" s="33">
        <v>0.27</v>
      </c>
      <c r="M61" s="4">
        <v>70.989999999999995</v>
      </c>
      <c r="N61" s="4">
        <v>71.7</v>
      </c>
      <c r="O61" s="82">
        <v>1153.7</v>
      </c>
      <c r="P61" s="33">
        <v>0.55000000000000004</v>
      </c>
      <c r="Q61" s="4">
        <v>71.66</v>
      </c>
      <c r="R61" s="4">
        <v>70.2</v>
      </c>
      <c r="S61" s="82">
        <v>1517.1</v>
      </c>
      <c r="T61" s="33">
        <v>0.47</v>
      </c>
      <c r="U61" s="4">
        <v>71.61</v>
      </c>
      <c r="V61" s="4">
        <v>72.25</v>
      </c>
      <c r="W61" s="82">
        <v>1165.3</v>
      </c>
      <c r="X61" s="33">
        <v>0.54</v>
      </c>
      <c r="Y61" s="4">
        <v>71.59</v>
      </c>
      <c r="Z61" s="4">
        <v>72.52</v>
      </c>
      <c r="AA61" s="82">
        <v>1110.5999999999999</v>
      </c>
      <c r="AB61" s="33">
        <v>0.55000000000000004</v>
      </c>
      <c r="AC61" s="4">
        <v>71.680000000000007</v>
      </c>
      <c r="AD61" s="4">
        <v>72.37</v>
      </c>
      <c r="AE61" s="82">
        <v>1153.0999999999999</v>
      </c>
      <c r="AF61" s="33">
        <v>0.54</v>
      </c>
      <c r="AG61" s="4">
        <v>71.67</v>
      </c>
      <c r="AH61" s="4">
        <v>72.34</v>
      </c>
      <c r="AI61" s="82">
        <v>1155.9000000000001</v>
      </c>
      <c r="AJ61" s="33">
        <v>0.54</v>
      </c>
    </row>
    <row r="62" spans="1:36" x14ac:dyDescent="0.2">
      <c r="B62" s="105"/>
      <c r="C62" s="105"/>
      <c r="D62" s="29">
        <v>50</v>
      </c>
      <c r="E62" s="62"/>
      <c r="F62" s="62"/>
      <c r="G62" s="63"/>
      <c r="H62" s="81"/>
      <c r="I62" s="4">
        <v>57.06</v>
      </c>
      <c r="J62" s="4"/>
      <c r="K62" s="82">
        <v>3660.2</v>
      </c>
      <c r="L62" s="33">
        <v>0.18</v>
      </c>
      <c r="M62" s="4">
        <v>66.64</v>
      </c>
      <c r="N62" s="4">
        <v>59.36</v>
      </c>
      <c r="O62" s="82">
        <v>2027.3</v>
      </c>
      <c r="P62" s="33">
        <v>0.41</v>
      </c>
      <c r="Q62" s="4">
        <v>69.680000000000007</v>
      </c>
      <c r="R62" s="4">
        <v>73.5</v>
      </c>
      <c r="S62" s="82">
        <v>654.5</v>
      </c>
      <c r="T62" s="33">
        <v>0.66</v>
      </c>
      <c r="U62" s="4">
        <v>70.53</v>
      </c>
      <c r="V62" s="4">
        <v>73.36</v>
      </c>
      <c r="W62" s="82">
        <v>803.3</v>
      </c>
      <c r="X62" s="33">
        <v>0.62</v>
      </c>
      <c r="Y62" s="4">
        <v>70.540000000000006</v>
      </c>
      <c r="Z62" s="4">
        <v>73.13</v>
      </c>
      <c r="AA62" s="82">
        <v>850.4</v>
      </c>
      <c r="AB62" s="33">
        <v>0.61</v>
      </c>
      <c r="AC62" s="4">
        <v>70.540000000000006</v>
      </c>
      <c r="AD62" s="4">
        <v>73.14</v>
      </c>
      <c r="AE62" s="82">
        <v>849.1</v>
      </c>
      <c r="AF62" s="33">
        <v>0.61</v>
      </c>
      <c r="AG62" s="4">
        <v>70.52</v>
      </c>
      <c r="AH62" s="4">
        <v>73.09</v>
      </c>
      <c r="AI62" s="82">
        <v>858.5</v>
      </c>
      <c r="AJ62" s="33">
        <v>0.61</v>
      </c>
    </row>
    <row r="63" spans="1:36" x14ac:dyDescent="0.2">
      <c r="B63" s="105"/>
      <c r="C63" s="105"/>
      <c r="D63" s="30">
        <v>91</v>
      </c>
      <c r="E63" s="62"/>
      <c r="F63" s="62"/>
      <c r="G63" s="63"/>
      <c r="H63" s="81"/>
      <c r="I63" s="27">
        <v>56.21</v>
      </c>
      <c r="J63" s="27">
        <v>51.3</v>
      </c>
      <c r="K63" s="83">
        <v>1762.2</v>
      </c>
      <c r="L63" s="52">
        <v>0.56999999999999995</v>
      </c>
      <c r="M63" s="27">
        <v>68.19</v>
      </c>
      <c r="N63" s="27">
        <v>59.84</v>
      </c>
      <c r="O63" s="83">
        <v>2418.1999999999998</v>
      </c>
      <c r="P63" s="52">
        <v>0.32</v>
      </c>
      <c r="Q63" s="27">
        <v>71.56</v>
      </c>
      <c r="R63" s="27">
        <v>72.31</v>
      </c>
      <c r="S63" s="83">
        <v>1146.7</v>
      </c>
      <c r="T63" s="52">
        <v>0.54</v>
      </c>
      <c r="U63" s="27">
        <v>72</v>
      </c>
      <c r="V63" s="27">
        <v>71.790000000000006</v>
      </c>
      <c r="W63" s="83">
        <v>1298</v>
      </c>
      <c r="X63" s="52">
        <v>0.51</v>
      </c>
      <c r="Y63" s="27">
        <v>71.72</v>
      </c>
      <c r="Z63" s="27">
        <v>72.16</v>
      </c>
      <c r="AA63" s="83">
        <v>1197.2</v>
      </c>
      <c r="AB63" s="52">
        <v>0.53</v>
      </c>
      <c r="AC63" s="27">
        <v>71.77</v>
      </c>
      <c r="AD63" s="27">
        <v>72.12</v>
      </c>
      <c r="AE63" s="83">
        <v>1210.0999999999999</v>
      </c>
      <c r="AF63" s="52">
        <v>0.53</v>
      </c>
      <c r="AG63" s="27">
        <v>71.75</v>
      </c>
      <c r="AH63" s="27">
        <v>72.11</v>
      </c>
      <c r="AI63" s="83">
        <v>1209</v>
      </c>
      <c r="AJ63" s="52">
        <v>0.53</v>
      </c>
    </row>
    <row r="64" spans="1:36" x14ac:dyDescent="0.2">
      <c r="B64" s="106"/>
      <c r="C64" s="105"/>
      <c r="D64" s="6" t="s">
        <v>8</v>
      </c>
      <c r="E64" s="7" t="e">
        <f t="shared" ref="E64:AJ64" si="31">AVERAGE(E59:E63)</f>
        <v>#DIV/0!</v>
      </c>
      <c r="F64" s="7" t="e">
        <f t="shared" si="31"/>
        <v>#DIV/0!</v>
      </c>
      <c r="G64" s="35" t="e">
        <f t="shared" si="31"/>
        <v>#DIV/0!</v>
      </c>
      <c r="H64" s="34" t="e">
        <f t="shared" si="31"/>
        <v>#DIV/0!</v>
      </c>
      <c r="I64" s="7">
        <f t="shared" si="31"/>
        <v>56.5</v>
      </c>
      <c r="J64" s="7">
        <f t="shared" si="31"/>
        <v>56.8</v>
      </c>
      <c r="K64" s="35">
        <f t="shared" si="31"/>
        <v>2456.44</v>
      </c>
      <c r="L64" s="34">
        <f t="shared" si="31"/>
        <v>0.42800000000000005</v>
      </c>
      <c r="M64" s="7">
        <f t="shared" si="31"/>
        <v>69.091999999999999</v>
      </c>
      <c r="N64" s="7">
        <f t="shared" si="31"/>
        <v>67.323999999999998</v>
      </c>
      <c r="O64" s="35">
        <f t="shared" si="31"/>
        <v>1441.8</v>
      </c>
      <c r="P64" s="34">
        <f t="shared" si="31"/>
        <v>0.50600000000000001</v>
      </c>
      <c r="Q64" s="7">
        <f t="shared" si="31"/>
        <v>70.924000000000007</v>
      </c>
      <c r="R64" s="7">
        <f t="shared" si="31"/>
        <v>71.866</v>
      </c>
      <c r="S64" s="35">
        <f t="shared" si="31"/>
        <v>1132.2999999999997</v>
      </c>
      <c r="T64" s="34">
        <f t="shared" si="31"/>
        <v>0.55000000000000004</v>
      </c>
      <c r="U64" s="7">
        <f t="shared" si="31"/>
        <v>71.23599999999999</v>
      </c>
      <c r="V64" s="7">
        <f t="shared" si="31"/>
        <v>72.158000000000001</v>
      </c>
      <c r="W64" s="35">
        <f t="shared" si="31"/>
        <v>1129.96</v>
      </c>
      <c r="X64" s="34">
        <f t="shared" si="31"/>
        <v>0.55000000000000004</v>
      </c>
      <c r="Y64" s="7">
        <f t="shared" si="31"/>
        <v>71.194000000000003</v>
      </c>
      <c r="Z64" s="7">
        <f t="shared" si="31"/>
        <v>72.078000000000003</v>
      </c>
      <c r="AA64" s="35">
        <f t="shared" si="31"/>
        <v>1138.94</v>
      </c>
      <c r="AB64" s="34">
        <f t="shared" si="31"/>
        <v>0.54600000000000004</v>
      </c>
      <c r="AC64" s="7">
        <f t="shared" si="31"/>
        <v>71.210000000000008</v>
      </c>
      <c r="AD64" s="7">
        <f t="shared" si="31"/>
        <v>72.075999999999993</v>
      </c>
      <c r="AE64" s="35">
        <f t="shared" si="31"/>
        <v>1142.4599999999998</v>
      </c>
      <c r="AF64" s="34">
        <f t="shared" si="31"/>
        <v>0.54600000000000004</v>
      </c>
      <c r="AG64" s="7">
        <f t="shared" si="31"/>
        <v>71.193999999999988</v>
      </c>
      <c r="AH64" s="7">
        <f t="shared" si="31"/>
        <v>72.046000000000006</v>
      </c>
      <c r="AI64" s="35">
        <f t="shared" si="31"/>
        <v>1145.94</v>
      </c>
      <c r="AJ64" s="34">
        <f t="shared" si="31"/>
        <v>0.54600000000000004</v>
      </c>
    </row>
    <row r="65" spans="2:36" x14ac:dyDescent="0.2">
      <c r="B65" s="104">
        <v>0.4</v>
      </c>
      <c r="C65" s="105"/>
      <c r="D65" s="28">
        <v>13</v>
      </c>
      <c r="E65" s="25"/>
      <c r="F65" s="25"/>
      <c r="G65" s="25"/>
      <c r="H65" s="31"/>
      <c r="I65" s="4">
        <v>47.51</v>
      </c>
      <c r="J65" s="4"/>
      <c r="K65" s="82">
        <v>3499</v>
      </c>
      <c r="L65" s="33">
        <v>0.31</v>
      </c>
      <c r="M65" s="4">
        <v>53.06</v>
      </c>
      <c r="N65" s="4">
        <v>67.39</v>
      </c>
      <c r="O65" s="82">
        <v>17.600000000000001</v>
      </c>
      <c r="P65" s="33">
        <v>0.95</v>
      </c>
      <c r="Q65" s="4">
        <v>70.05</v>
      </c>
      <c r="R65" s="4">
        <v>66.5</v>
      </c>
      <c r="S65" s="82">
        <v>1812.8</v>
      </c>
      <c r="T65" s="33">
        <v>0.42</v>
      </c>
      <c r="U65" s="4">
        <v>71.84</v>
      </c>
      <c r="V65" s="4">
        <v>71.239999999999995</v>
      </c>
      <c r="W65" s="82">
        <v>1371</v>
      </c>
      <c r="X65" s="33">
        <v>0.49</v>
      </c>
      <c r="Y65" s="4">
        <v>71.819999999999993</v>
      </c>
      <c r="Z65" s="4">
        <v>71.239999999999995</v>
      </c>
      <c r="AA65" s="82">
        <v>1371.9</v>
      </c>
      <c r="AB65" s="33">
        <v>0.49</v>
      </c>
      <c r="AC65" s="4">
        <v>71.819999999999993</v>
      </c>
      <c r="AD65" s="4">
        <v>71.44</v>
      </c>
      <c r="AE65" s="82">
        <v>1337.2</v>
      </c>
      <c r="AF65" s="33">
        <v>0.5</v>
      </c>
      <c r="AG65" s="4">
        <v>71.84</v>
      </c>
      <c r="AH65" s="4">
        <v>71.459999999999994</v>
      </c>
      <c r="AI65" s="82">
        <v>1335.2</v>
      </c>
      <c r="AJ65" s="33">
        <v>0.5</v>
      </c>
    </row>
    <row r="66" spans="2:36" x14ac:dyDescent="0.2">
      <c r="B66" s="105"/>
      <c r="C66" s="105"/>
      <c r="D66" s="29">
        <v>21</v>
      </c>
      <c r="E66" s="4"/>
      <c r="F66" s="4"/>
      <c r="G66" s="1"/>
      <c r="H66" s="33"/>
      <c r="I66" s="4">
        <v>46.61</v>
      </c>
      <c r="J66" s="4"/>
      <c r="K66" s="82">
        <v>4196.6000000000004</v>
      </c>
      <c r="L66" s="33">
        <v>0.18</v>
      </c>
      <c r="M66" s="4">
        <v>64.63</v>
      </c>
      <c r="N66" s="4">
        <v>51.06</v>
      </c>
      <c r="O66" s="82">
        <v>2350.5</v>
      </c>
      <c r="P66" s="33">
        <v>0.37</v>
      </c>
      <c r="Q66" s="4">
        <v>69.98</v>
      </c>
      <c r="R66" s="4">
        <v>69.819999999999993</v>
      </c>
      <c r="S66" s="82">
        <v>1373.8</v>
      </c>
      <c r="T66" s="33">
        <v>0.51</v>
      </c>
      <c r="U66" s="4">
        <v>70.09</v>
      </c>
      <c r="V66" s="4">
        <v>71.569999999999993</v>
      </c>
      <c r="W66" s="82">
        <v>1095.4000000000001</v>
      </c>
      <c r="X66" s="33">
        <v>0.56999999999999995</v>
      </c>
      <c r="Y66" s="4">
        <v>70.25</v>
      </c>
      <c r="Z66" s="4">
        <v>71.2</v>
      </c>
      <c r="AA66" s="82">
        <v>1182.9000000000001</v>
      </c>
      <c r="AB66" s="33">
        <v>0.55000000000000004</v>
      </c>
      <c r="AC66" s="4">
        <v>70.2</v>
      </c>
      <c r="AD66" s="4">
        <v>71.239999999999995</v>
      </c>
      <c r="AE66" s="82">
        <v>1170</v>
      </c>
      <c r="AF66" s="33">
        <v>0.55000000000000004</v>
      </c>
      <c r="AG66" s="4">
        <v>70.209999999999994</v>
      </c>
      <c r="AH66" s="4">
        <v>71.25</v>
      </c>
      <c r="AI66" s="82">
        <v>1168.7</v>
      </c>
      <c r="AJ66" s="33">
        <v>0.55000000000000004</v>
      </c>
    </row>
    <row r="67" spans="2:36" x14ac:dyDescent="0.2">
      <c r="B67" s="105"/>
      <c r="C67" s="105"/>
      <c r="D67" s="29">
        <v>47</v>
      </c>
      <c r="E67" s="4"/>
      <c r="F67" s="4"/>
      <c r="G67" s="1"/>
      <c r="H67" s="8"/>
      <c r="I67" s="4">
        <v>52.26</v>
      </c>
      <c r="J67" s="4"/>
      <c r="K67" s="82">
        <v>4586.3999999999996</v>
      </c>
      <c r="L67" s="33">
        <v>0.05</v>
      </c>
      <c r="M67" s="4">
        <v>68.58</v>
      </c>
      <c r="N67" s="4">
        <v>62.96</v>
      </c>
      <c r="O67" s="82">
        <v>1973.7</v>
      </c>
      <c r="P67" s="33">
        <v>0.41</v>
      </c>
      <c r="Q67" s="4">
        <v>71.42</v>
      </c>
      <c r="R67" s="4">
        <v>71.25</v>
      </c>
      <c r="S67" s="82">
        <v>1301.3</v>
      </c>
      <c r="T67" s="33">
        <v>0.51</v>
      </c>
      <c r="U67" s="4">
        <v>71.56</v>
      </c>
      <c r="V67" s="4">
        <v>72.61</v>
      </c>
      <c r="W67" s="82">
        <v>1091.4000000000001</v>
      </c>
      <c r="X67" s="33">
        <v>0.55000000000000004</v>
      </c>
      <c r="Y67" s="4">
        <v>71.55</v>
      </c>
      <c r="Z67" s="4">
        <v>72.52</v>
      </c>
      <c r="AA67" s="82">
        <v>1107.4000000000001</v>
      </c>
      <c r="AB67" s="33">
        <v>0.55000000000000004</v>
      </c>
      <c r="AC67" s="4">
        <v>71.680000000000007</v>
      </c>
      <c r="AD67" s="4">
        <v>72.37</v>
      </c>
      <c r="AE67" s="82">
        <v>1153.2</v>
      </c>
      <c r="AF67" s="33">
        <v>0.54</v>
      </c>
      <c r="AG67" s="4">
        <v>71.680000000000007</v>
      </c>
      <c r="AH67" s="4">
        <v>72.349999999999994</v>
      </c>
      <c r="AI67" s="82">
        <v>1155.7</v>
      </c>
      <c r="AJ67" s="33">
        <v>0.54</v>
      </c>
    </row>
    <row r="68" spans="2:36" x14ac:dyDescent="0.2">
      <c r="B68" s="105"/>
      <c r="C68" s="105"/>
      <c r="D68" s="29">
        <v>50</v>
      </c>
      <c r="E68" s="4"/>
      <c r="F68" s="4"/>
      <c r="G68" s="1"/>
      <c r="H68" s="8"/>
      <c r="I68" s="4">
        <v>52.66</v>
      </c>
      <c r="J68" s="4">
        <v>46.85</v>
      </c>
      <c r="K68" s="82">
        <v>1908.4</v>
      </c>
      <c r="L68" s="33">
        <v>0.57999999999999996</v>
      </c>
      <c r="M68" s="4">
        <v>63.73</v>
      </c>
      <c r="N68" s="4">
        <v>58.04</v>
      </c>
      <c r="O68" s="82">
        <v>1738.3</v>
      </c>
      <c r="P68" s="33">
        <v>0.5</v>
      </c>
      <c r="Q68" s="4">
        <v>70.48</v>
      </c>
      <c r="R68" s="4">
        <v>71.739999999999995</v>
      </c>
      <c r="S68" s="82">
        <v>1105.3</v>
      </c>
      <c r="T68" s="33">
        <v>0.56000000000000005</v>
      </c>
      <c r="U68" s="4">
        <v>70.69</v>
      </c>
      <c r="V68" s="4">
        <v>72.64</v>
      </c>
      <c r="W68" s="82">
        <v>966.4</v>
      </c>
      <c r="X68" s="33">
        <v>0.59</v>
      </c>
      <c r="Y68" s="4">
        <v>70.569999999999993</v>
      </c>
      <c r="Z68" s="4">
        <v>73.06</v>
      </c>
      <c r="AA68" s="82">
        <v>870.1</v>
      </c>
      <c r="AB68" s="33">
        <v>0.61</v>
      </c>
      <c r="AC68" s="4">
        <v>70.540000000000006</v>
      </c>
      <c r="AD68" s="4">
        <v>73.14</v>
      </c>
      <c r="AE68" s="82">
        <v>850.9</v>
      </c>
      <c r="AF68" s="33">
        <v>0.61</v>
      </c>
      <c r="AG68" s="4">
        <v>70.53</v>
      </c>
      <c r="AH68" s="4">
        <v>73.09</v>
      </c>
      <c r="AI68" s="82">
        <v>858.2</v>
      </c>
      <c r="AJ68" s="33">
        <v>0.61</v>
      </c>
    </row>
    <row r="69" spans="2:36" x14ac:dyDescent="0.2">
      <c r="B69" s="105"/>
      <c r="C69" s="105"/>
      <c r="D69" s="30">
        <v>91</v>
      </c>
      <c r="E69" s="27"/>
      <c r="F69" s="27"/>
      <c r="G69" s="26"/>
      <c r="H69" s="32"/>
      <c r="I69" s="27">
        <v>52.25</v>
      </c>
      <c r="J69" s="27"/>
      <c r="K69" s="83">
        <v>2404.4</v>
      </c>
      <c r="L69" s="52">
        <v>0.48</v>
      </c>
      <c r="M69" s="27">
        <v>63.44</v>
      </c>
      <c r="N69" s="27">
        <v>47.75</v>
      </c>
      <c r="O69" s="83">
        <v>2678.5</v>
      </c>
      <c r="P69" s="52">
        <v>0.32</v>
      </c>
      <c r="Q69" s="27">
        <v>71.33</v>
      </c>
      <c r="R69" s="27">
        <v>73.09</v>
      </c>
      <c r="S69" s="83">
        <v>966.7</v>
      </c>
      <c r="T69" s="52">
        <v>0.57999999999999996</v>
      </c>
      <c r="U69" s="27">
        <v>71.819999999999993</v>
      </c>
      <c r="V69" s="27">
        <v>72.16</v>
      </c>
      <c r="W69" s="83">
        <v>1208.5999999999999</v>
      </c>
      <c r="X69" s="52">
        <v>0.53</v>
      </c>
      <c r="Y69" s="27">
        <v>71.709999999999994</v>
      </c>
      <c r="Z69" s="27">
        <v>72.16</v>
      </c>
      <c r="AA69" s="83">
        <v>1195.4000000000001</v>
      </c>
      <c r="AB69" s="52">
        <v>0.53</v>
      </c>
      <c r="AC69" s="27">
        <v>71.78</v>
      </c>
      <c r="AD69" s="27">
        <v>72.11</v>
      </c>
      <c r="AE69" s="83">
        <v>1212.3</v>
      </c>
      <c r="AF69" s="52">
        <v>0.53</v>
      </c>
      <c r="AG69" s="27">
        <v>71.75</v>
      </c>
      <c r="AH69" s="27">
        <v>72.12</v>
      </c>
      <c r="AI69" s="83">
        <v>1207.4000000000001</v>
      </c>
      <c r="AJ69" s="52">
        <v>0.53</v>
      </c>
    </row>
    <row r="70" spans="2:36" x14ac:dyDescent="0.2">
      <c r="B70" s="106"/>
      <c r="C70" s="105"/>
      <c r="D70" s="6" t="s">
        <v>8</v>
      </c>
      <c r="E70" s="7" t="e">
        <f t="shared" ref="E70:AJ70" si="32">AVERAGE(E65:E69)</f>
        <v>#DIV/0!</v>
      </c>
      <c r="F70" s="7" t="e">
        <f t="shared" si="32"/>
        <v>#DIV/0!</v>
      </c>
      <c r="G70" s="35" t="e">
        <f t="shared" si="32"/>
        <v>#DIV/0!</v>
      </c>
      <c r="H70" s="34" t="e">
        <f t="shared" si="32"/>
        <v>#DIV/0!</v>
      </c>
      <c r="I70" s="7">
        <f t="shared" si="32"/>
        <v>50.257999999999996</v>
      </c>
      <c r="J70" s="7">
        <f t="shared" si="32"/>
        <v>46.85</v>
      </c>
      <c r="K70" s="35">
        <f t="shared" si="32"/>
        <v>3318.96</v>
      </c>
      <c r="L70" s="34">
        <f t="shared" si="32"/>
        <v>0.32</v>
      </c>
      <c r="M70" s="7">
        <f t="shared" si="32"/>
        <v>62.687999999999988</v>
      </c>
      <c r="N70" s="7">
        <f t="shared" si="32"/>
        <v>57.44</v>
      </c>
      <c r="O70" s="35">
        <f t="shared" si="32"/>
        <v>1751.72</v>
      </c>
      <c r="P70" s="34">
        <f t="shared" si="32"/>
        <v>0.5099999999999999</v>
      </c>
      <c r="Q70" s="7">
        <f t="shared" si="32"/>
        <v>70.652000000000001</v>
      </c>
      <c r="R70" s="7">
        <f t="shared" si="32"/>
        <v>70.47999999999999</v>
      </c>
      <c r="S70" s="35">
        <f t="shared" si="32"/>
        <v>1311.98</v>
      </c>
      <c r="T70" s="34">
        <f t="shared" si="32"/>
        <v>0.51600000000000001</v>
      </c>
      <c r="U70" s="7">
        <f t="shared" si="32"/>
        <v>71.2</v>
      </c>
      <c r="V70" s="7">
        <f t="shared" si="32"/>
        <v>72.044000000000011</v>
      </c>
      <c r="W70" s="35">
        <f t="shared" si="32"/>
        <v>1146.56</v>
      </c>
      <c r="X70" s="34">
        <f t="shared" si="32"/>
        <v>0.54600000000000004</v>
      </c>
      <c r="Y70" s="7">
        <f t="shared" si="32"/>
        <v>71.179999999999993</v>
      </c>
      <c r="Z70" s="7">
        <f t="shared" si="32"/>
        <v>72.035999999999987</v>
      </c>
      <c r="AA70" s="35">
        <f t="shared" si="32"/>
        <v>1145.5400000000002</v>
      </c>
      <c r="AB70" s="34">
        <f t="shared" si="32"/>
        <v>0.54600000000000004</v>
      </c>
      <c r="AC70" s="7">
        <f t="shared" si="32"/>
        <v>71.203999999999994</v>
      </c>
      <c r="AD70" s="7">
        <f t="shared" si="32"/>
        <v>72.06</v>
      </c>
      <c r="AE70" s="35">
        <f t="shared" si="32"/>
        <v>1144.7199999999998</v>
      </c>
      <c r="AF70" s="34">
        <f t="shared" si="32"/>
        <v>0.54600000000000004</v>
      </c>
      <c r="AG70" s="7">
        <f t="shared" si="32"/>
        <v>71.201999999999998</v>
      </c>
      <c r="AH70" s="7">
        <f t="shared" si="32"/>
        <v>72.054000000000002</v>
      </c>
      <c r="AI70" s="35">
        <f t="shared" si="32"/>
        <v>1145.0400000000002</v>
      </c>
      <c r="AJ70" s="34">
        <f t="shared" si="32"/>
        <v>0.54600000000000004</v>
      </c>
    </row>
    <row r="71" spans="2:36" x14ac:dyDescent="0.2">
      <c r="B71" s="104">
        <v>0.6</v>
      </c>
      <c r="C71" s="105"/>
      <c r="D71" s="28">
        <v>13</v>
      </c>
      <c r="E71" s="25"/>
      <c r="F71" s="25"/>
      <c r="G71" s="25"/>
      <c r="H71" s="31"/>
      <c r="I71" s="4">
        <v>49.42</v>
      </c>
      <c r="J71" s="4"/>
      <c r="K71" s="82">
        <v>3424.6</v>
      </c>
      <c r="L71" s="33">
        <v>0.31</v>
      </c>
      <c r="M71" s="4">
        <v>48.61</v>
      </c>
      <c r="N71" s="4">
        <v>65.42</v>
      </c>
      <c r="O71" s="82">
        <v>0</v>
      </c>
      <c r="P71" s="33">
        <v>1</v>
      </c>
      <c r="Q71" s="4">
        <v>70.47</v>
      </c>
      <c r="R71" s="4">
        <v>71.77</v>
      </c>
      <c r="S71" s="82">
        <v>1088.5999999999999</v>
      </c>
      <c r="T71" s="33">
        <v>0.56000000000000005</v>
      </c>
      <c r="U71" s="4">
        <v>71.680000000000007</v>
      </c>
      <c r="V71" s="4">
        <v>69.98</v>
      </c>
      <c r="W71" s="82">
        <v>1559.1</v>
      </c>
      <c r="X71" s="33">
        <v>0.46</v>
      </c>
      <c r="Y71" s="4">
        <v>71.84</v>
      </c>
      <c r="Z71" s="4">
        <v>71.22</v>
      </c>
      <c r="AA71" s="82">
        <v>1376.7</v>
      </c>
      <c r="AB71" s="33">
        <v>0.49</v>
      </c>
      <c r="AC71" s="4">
        <v>71.84</v>
      </c>
      <c r="AD71" s="4">
        <v>71.45</v>
      </c>
      <c r="AE71" s="82">
        <v>1337.5</v>
      </c>
      <c r="AF71" s="33">
        <v>0.5</v>
      </c>
      <c r="AG71" s="4">
        <v>71.87</v>
      </c>
      <c r="AH71" s="4">
        <v>71.52</v>
      </c>
      <c r="AI71" s="82">
        <v>1327.7</v>
      </c>
      <c r="AJ71" s="33">
        <v>0.5</v>
      </c>
    </row>
    <row r="72" spans="2:36" x14ac:dyDescent="0.2">
      <c r="B72" s="105"/>
      <c r="C72" s="105"/>
      <c r="D72" s="29">
        <v>21</v>
      </c>
      <c r="E72" s="4"/>
      <c r="F72" s="4"/>
      <c r="G72" s="1"/>
      <c r="H72" s="33"/>
      <c r="I72" s="4">
        <v>50.75</v>
      </c>
      <c r="J72" s="4"/>
      <c r="K72" s="82">
        <v>3265.9</v>
      </c>
      <c r="L72" s="33">
        <v>0.33</v>
      </c>
      <c r="M72" s="4">
        <v>51.4</v>
      </c>
      <c r="N72" s="4"/>
      <c r="O72" s="82">
        <v>4860.2</v>
      </c>
      <c r="P72" s="33">
        <v>0</v>
      </c>
      <c r="Q72" s="4">
        <v>67.760000000000005</v>
      </c>
      <c r="R72" s="4">
        <v>61.19</v>
      </c>
      <c r="S72" s="82">
        <v>2306.5</v>
      </c>
      <c r="T72" s="33">
        <v>0.35</v>
      </c>
      <c r="U72" s="4">
        <v>70.06</v>
      </c>
      <c r="V72" s="4">
        <v>71.540000000000006</v>
      </c>
      <c r="W72" s="82">
        <v>1097.9000000000001</v>
      </c>
      <c r="X72" s="33">
        <v>0.56999999999999995</v>
      </c>
      <c r="Y72" s="4">
        <v>70.260000000000005</v>
      </c>
      <c r="Z72" s="4">
        <v>71.22</v>
      </c>
      <c r="AA72" s="82">
        <v>1181.3</v>
      </c>
      <c r="AB72" s="33">
        <v>0.55000000000000004</v>
      </c>
      <c r="AC72" s="4">
        <v>70.2</v>
      </c>
      <c r="AD72" s="4">
        <v>71.239999999999995</v>
      </c>
      <c r="AE72" s="82">
        <v>1169.3</v>
      </c>
      <c r="AF72" s="33">
        <v>0.55000000000000004</v>
      </c>
      <c r="AG72" s="4">
        <v>70.209999999999994</v>
      </c>
      <c r="AH72" s="4">
        <v>71.25</v>
      </c>
      <c r="AI72" s="82">
        <v>1169.7</v>
      </c>
      <c r="AJ72" s="33">
        <v>0.55000000000000004</v>
      </c>
    </row>
    <row r="73" spans="2:36" x14ac:dyDescent="0.2">
      <c r="B73" s="105"/>
      <c r="C73" s="105"/>
      <c r="D73" s="29">
        <v>47</v>
      </c>
      <c r="E73" s="4"/>
      <c r="F73" s="4"/>
      <c r="G73" s="1"/>
      <c r="H73" s="8"/>
      <c r="I73" s="4">
        <v>51.36</v>
      </c>
      <c r="J73" s="4"/>
      <c r="K73" s="82">
        <v>4382.8999999999996</v>
      </c>
      <c r="L73" s="33">
        <v>0.1</v>
      </c>
      <c r="M73" s="4">
        <v>67.400000000000006</v>
      </c>
      <c r="N73" s="4">
        <v>60.04</v>
      </c>
      <c r="O73" s="82">
        <v>2283.5</v>
      </c>
      <c r="P73" s="33">
        <v>0.36</v>
      </c>
      <c r="Q73" s="4">
        <v>69.239999999999995</v>
      </c>
      <c r="R73" s="4">
        <v>73.8</v>
      </c>
      <c r="S73" s="82">
        <v>524.6</v>
      </c>
      <c r="T73" s="33">
        <v>0.69</v>
      </c>
      <c r="U73" s="4">
        <v>71.53</v>
      </c>
      <c r="V73" s="4">
        <v>73.03</v>
      </c>
      <c r="W73" s="82">
        <v>1005.9</v>
      </c>
      <c r="X73" s="33">
        <v>0.56999999999999995</v>
      </c>
      <c r="Y73" s="4">
        <v>71.59</v>
      </c>
      <c r="Z73" s="4">
        <v>72.39</v>
      </c>
      <c r="AA73" s="82">
        <v>1136.7</v>
      </c>
      <c r="AB73" s="33">
        <v>0.54</v>
      </c>
      <c r="AC73" s="4">
        <v>71.680000000000007</v>
      </c>
      <c r="AD73" s="4">
        <v>72.36</v>
      </c>
      <c r="AE73" s="82">
        <v>1154.0999999999999</v>
      </c>
      <c r="AF73" s="33">
        <v>0.54</v>
      </c>
      <c r="AG73" s="4">
        <v>71.680000000000007</v>
      </c>
      <c r="AH73" s="4">
        <v>72.349999999999994</v>
      </c>
      <c r="AI73" s="82">
        <v>1155.3</v>
      </c>
      <c r="AJ73" s="33">
        <v>0.54</v>
      </c>
    </row>
    <row r="74" spans="2:36" x14ac:dyDescent="0.2">
      <c r="B74" s="105"/>
      <c r="C74" s="105"/>
      <c r="D74" s="29">
        <v>50</v>
      </c>
      <c r="E74" s="4"/>
      <c r="F74" s="4"/>
      <c r="G74" s="1"/>
      <c r="H74" s="8"/>
      <c r="I74" s="4">
        <v>50.54</v>
      </c>
      <c r="J74" s="4"/>
      <c r="K74" s="82">
        <v>1611.1</v>
      </c>
      <c r="L74" s="33">
        <v>0.66</v>
      </c>
      <c r="M74" s="4">
        <v>67</v>
      </c>
      <c r="N74" s="4">
        <v>70.989999999999995</v>
      </c>
      <c r="O74" s="82">
        <v>747</v>
      </c>
      <c r="P74" s="33">
        <v>0.67</v>
      </c>
      <c r="Q74" s="4">
        <v>69.099999999999994</v>
      </c>
      <c r="R74" s="4">
        <v>73.099999999999994</v>
      </c>
      <c r="S74" s="82">
        <v>664</v>
      </c>
      <c r="T74" s="33">
        <v>0.66</v>
      </c>
      <c r="U74" s="4">
        <v>70.97</v>
      </c>
      <c r="V74" s="4">
        <v>71.91</v>
      </c>
      <c r="W74" s="82">
        <v>1145.0999999999999</v>
      </c>
      <c r="X74" s="33">
        <v>0.55000000000000004</v>
      </c>
      <c r="Y74" s="4">
        <v>70.67</v>
      </c>
      <c r="Z74" s="4">
        <v>72.84</v>
      </c>
      <c r="AA74" s="82">
        <v>927.4</v>
      </c>
      <c r="AB74" s="33">
        <v>0.59</v>
      </c>
      <c r="AC74" s="4">
        <v>70.540000000000006</v>
      </c>
      <c r="AD74" s="4">
        <v>73.099999999999994</v>
      </c>
      <c r="AE74" s="82">
        <v>857.2</v>
      </c>
      <c r="AF74" s="33">
        <v>0.61</v>
      </c>
      <c r="AG74" s="4">
        <v>70.510000000000005</v>
      </c>
      <c r="AH74" s="4">
        <v>73.06</v>
      </c>
      <c r="AI74" s="82">
        <v>862.1</v>
      </c>
      <c r="AJ74" s="33">
        <v>0.61</v>
      </c>
    </row>
    <row r="75" spans="2:36" x14ac:dyDescent="0.2">
      <c r="B75" s="105"/>
      <c r="C75" s="105"/>
      <c r="D75" s="30">
        <v>91</v>
      </c>
      <c r="E75" s="27"/>
      <c r="F75" s="27"/>
      <c r="G75" s="26"/>
      <c r="H75" s="32"/>
      <c r="I75" s="27">
        <v>51.01</v>
      </c>
      <c r="J75" s="27"/>
      <c r="K75" s="83">
        <v>3132.9</v>
      </c>
      <c r="L75" s="52">
        <v>0.35</v>
      </c>
      <c r="M75" s="27">
        <v>58.62</v>
      </c>
      <c r="N75" s="27">
        <v>28.03</v>
      </c>
      <c r="O75" s="83">
        <v>3872.6</v>
      </c>
      <c r="P75" s="52">
        <v>0.13</v>
      </c>
      <c r="Q75" s="27">
        <v>70.87</v>
      </c>
      <c r="R75" s="27">
        <v>73.790000000000006</v>
      </c>
      <c r="S75" s="83">
        <v>761.1</v>
      </c>
      <c r="T75" s="52">
        <v>0.63</v>
      </c>
      <c r="U75" s="27">
        <v>71.61</v>
      </c>
      <c r="V75" s="27">
        <v>72.7</v>
      </c>
      <c r="W75" s="83">
        <v>1081.8</v>
      </c>
      <c r="X75" s="52">
        <v>0.55000000000000004</v>
      </c>
      <c r="Y75" s="27">
        <v>71.59</v>
      </c>
      <c r="Z75" s="27">
        <v>72.260000000000005</v>
      </c>
      <c r="AA75" s="83">
        <v>1159.8</v>
      </c>
      <c r="AB75" s="52">
        <v>0.54</v>
      </c>
      <c r="AC75" s="27">
        <v>71.760000000000005</v>
      </c>
      <c r="AD75" s="27">
        <v>72.11</v>
      </c>
      <c r="AE75" s="83">
        <v>1210.0999999999999</v>
      </c>
      <c r="AF75" s="52">
        <v>0.53</v>
      </c>
      <c r="AG75" s="27">
        <v>71.739999999999995</v>
      </c>
      <c r="AH75" s="27">
        <v>72.11</v>
      </c>
      <c r="AI75" s="83">
        <v>1208</v>
      </c>
      <c r="AJ75" s="52">
        <v>0.53</v>
      </c>
    </row>
    <row r="76" spans="2:36" x14ac:dyDescent="0.2">
      <c r="B76" s="106"/>
      <c r="C76" s="105"/>
      <c r="D76" s="6" t="s">
        <v>8</v>
      </c>
      <c r="E76" s="7" t="e">
        <f t="shared" ref="E76:AJ76" si="33">AVERAGE(E71:E75)</f>
        <v>#DIV/0!</v>
      </c>
      <c r="F76" s="7" t="e">
        <f t="shared" si="33"/>
        <v>#DIV/0!</v>
      </c>
      <c r="G76" s="35" t="e">
        <f t="shared" si="33"/>
        <v>#DIV/0!</v>
      </c>
      <c r="H76" s="34" t="e">
        <f t="shared" si="33"/>
        <v>#DIV/0!</v>
      </c>
      <c r="I76" s="7">
        <f t="shared" si="33"/>
        <v>50.616</v>
      </c>
      <c r="J76" s="7" t="e">
        <f t="shared" si="33"/>
        <v>#DIV/0!</v>
      </c>
      <c r="K76" s="35">
        <f t="shared" si="33"/>
        <v>3163.48</v>
      </c>
      <c r="L76" s="34">
        <f t="shared" si="33"/>
        <v>0.35</v>
      </c>
      <c r="M76" s="7">
        <f t="shared" si="33"/>
        <v>58.605999999999995</v>
      </c>
      <c r="N76" s="7">
        <f t="shared" si="33"/>
        <v>56.12</v>
      </c>
      <c r="O76" s="35">
        <f t="shared" si="33"/>
        <v>2352.66</v>
      </c>
      <c r="P76" s="34">
        <f t="shared" si="33"/>
        <v>0.43199999999999994</v>
      </c>
      <c r="Q76" s="7">
        <f t="shared" si="33"/>
        <v>69.488000000000014</v>
      </c>
      <c r="R76" s="7">
        <f t="shared" si="33"/>
        <v>70.73</v>
      </c>
      <c r="S76" s="35">
        <f t="shared" si="33"/>
        <v>1068.96</v>
      </c>
      <c r="T76" s="34">
        <f t="shared" si="33"/>
        <v>0.57800000000000007</v>
      </c>
      <c r="U76" s="7">
        <f t="shared" si="33"/>
        <v>71.17</v>
      </c>
      <c r="V76" s="7">
        <f t="shared" si="33"/>
        <v>71.832000000000008</v>
      </c>
      <c r="W76" s="35">
        <f t="shared" si="33"/>
        <v>1177.96</v>
      </c>
      <c r="X76" s="34">
        <f t="shared" si="33"/>
        <v>0.54</v>
      </c>
      <c r="Y76" s="7">
        <f t="shared" si="33"/>
        <v>71.190000000000012</v>
      </c>
      <c r="Z76" s="7">
        <f t="shared" si="33"/>
        <v>71.98599999999999</v>
      </c>
      <c r="AA76" s="35">
        <f t="shared" si="33"/>
        <v>1156.3799999999999</v>
      </c>
      <c r="AB76" s="34">
        <f t="shared" si="33"/>
        <v>0.54200000000000004</v>
      </c>
      <c r="AC76" s="7">
        <f t="shared" si="33"/>
        <v>71.204000000000008</v>
      </c>
      <c r="AD76" s="7">
        <f t="shared" si="33"/>
        <v>72.051999999999992</v>
      </c>
      <c r="AE76" s="35">
        <f t="shared" si="33"/>
        <v>1145.6400000000001</v>
      </c>
      <c r="AF76" s="34">
        <f t="shared" si="33"/>
        <v>0.54600000000000004</v>
      </c>
      <c r="AG76" s="7">
        <f t="shared" si="33"/>
        <v>71.201999999999998</v>
      </c>
      <c r="AH76" s="7">
        <f t="shared" si="33"/>
        <v>72.057999999999993</v>
      </c>
      <c r="AI76" s="35">
        <f t="shared" si="33"/>
        <v>1144.56</v>
      </c>
      <c r="AJ76" s="34">
        <f t="shared" si="33"/>
        <v>0.54600000000000004</v>
      </c>
    </row>
    <row r="77" spans="2:36" x14ac:dyDescent="0.2">
      <c r="B77" s="102">
        <v>0.8</v>
      </c>
      <c r="C77" s="105"/>
      <c r="D77" s="28">
        <v>13</v>
      </c>
      <c r="E77" s="25"/>
      <c r="F77" s="1"/>
      <c r="G77" s="25"/>
      <c r="H77" s="31"/>
      <c r="I77" s="4">
        <v>47.3</v>
      </c>
      <c r="J77" s="4">
        <v>40.6</v>
      </c>
      <c r="K77" s="82">
        <v>2375.1999999999998</v>
      </c>
      <c r="L77" s="33">
        <v>0.54</v>
      </c>
      <c r="M77" s="4">
        <v>48.61</v>
      </c>
      <c r="N77" s="4">
        <v>65.42</v>
      </c>
      <c r="O77" s="82">
        <v>0</v>
      </c>
      <c r="P77" s="33">
        <v>1</v>
      </c>
      <c r="Q77" s="4">
        <v>69.56</v>
      </c>
      <c r="R77" s="4">
        <v>68.38</v>
      </c>
      <c r="S77" s="82">
        <v>1526.9</v>
      </c>
      <c r="T77" s="33">
        <v>0.49</v>
      </c>
      <c r="U77" s="4">
        <v>71.89</v>
      </c>
      <c r="V77" s="4">
        <v>70.89</v>
      </c>
      <c r="W77" s="82">
        <v>1436.4</v>
      </c>
      <c r="X77" s="33">
        <v>0.48</v>
      </c>
      <c r="Y77" s="4">
        <v>71.83</v>
      </c>
      <c r="Z77" s="4">
        <v>70.760000000000005</v>
      </c>
      <c r="AA77" s="82">
        <v>1453.3</v>
      </c>
      <c r="AB77" s="33">
        <v>0.48</v>
      </c>
      <c r="AC77" s="4">
        <v>71.819999999999993</v>
      </c>
      <c r="AD77" s="4">
        <v>71.44</v>
      </c>
      <c r="AE77" s="82">
        <v>1337.6</v>
      </c>
      <c r="AF77" s="33">
        <v>0.5</v>
      </c>
      <c r="AG77" s="4">
        <v>71.89</v>
      </c>
      <c r="AH77" s="4">
        <v>71.59</v>
      </c>
      <c r="AI77" s="82">
        <v>1319.2</v>
      </c>
      <c r="AJ77" s="33">
        <v>0.5</v>
      </c>
    </row>
    <row r="78" spans="2:36" x14ac:dyDescent="0.2">
      <c r="B78" s="103"/>
      <c r="C78" s="105"/>
      <c r="D78" s="29">
        <v>21</v>
      </c>
      <c r="E78" s="4"/>
      <c r="F78" s="4"/>
      <c r="G78" s="1"/>
      <c r="H78" s="8"/>
      <c r="I78" s="4">
        <v>59.1</v>
      </c>
      <c r="J78" s="4">
        <v>46.06</v>
      </c>
      <c r="K78" s="82">
        <v>2753.3</v>
      </c>
      <c r="L78" s="33">
        <v>0.34</v>
      </c>
      <c r="M78" s="4">
        <v>51.39</v>
      </c>
      <c r="N78" s="4"/>
      <c r="O78" s="82">
        <v>4861</v>
      </c>
      <c r="P78" s="33">
        <v>0</v>
      </c>
      <c r="Q78" s="4">
        <v>69.260000000000005</v>
      </c>
      <c r="R78" s="4">
        <v>66.41</v>
      </c>
      <c r="S78" s="82">
        <v>1810</v>
      </c>
      <c r="T78" s="33">
        <v>0.43</v>
      </c>
      <c r="U78" s="4">
        <v>70.22</v>
      </c>
      <c r="V78" s="4">
        <v>71.47</v>
      </c>
      <c r="W78" s="82">
        <v>1131.5999999999999</v>
      </c>
      <c r="X78" s="33">
        <v>0.56000000000000005</v>
      </c>
      <c r="Y78" s="4">
        <v>70.27</v>
      </c>
      <c r="Z78" s="4">
        <v>71.209999999999994</v>
      </c>
      <c r="AA78" s="82">
        <v>1184.7</v>
      </c>
      <c r="AB78" s="33">
        <v>0.55000000000000004</v>
      </c>
      <c r="AC78" s="4">
        <v>70.2</v>
      </c>
      <c r="AD78" s="4">
        <v>71.27</v>
      </c>
      <c r="AE78" s="82">
        <v>1166.0999999999999</v>
      </c>
      <c r="AF78" s="33">
        <v>0.55000000000000004</v>
      </c>
      <c r="AG78" s="4">
        <v>70.22</v>
      </c>
      <c r="AH78" s="4">
        <v>71.25</v>
      </c>
      <c r="AI78" s="82">
        <v>1170</v>
      </c>
      <c r="AJ78" s="33">
        <v>0.55000000000000004</v>
      </c>
    </row>
    <row r="79" spans="2:36" x14ac:dyDescent="0.2">
      <c r="B79" s="103"/>
      <c r="C79" s="105"/>
      <c r="D79" s="29">
        <v>47</v>
      </c>
      <c r="E79" s="4"/>
      <c r="F79" s="4"/>
      <c r="G79" s="1"/>
      <c r="H79" s="8"/>
      <c r="I79" s="4">
        <v>50.37</v>
      </c>
      <c r="J79" s="4"/>
      <c r="K79" s="82">
        <v>1533.3</v>
      </c>
      <c r="L79" s="33">
        <v>0.68</v>
      </c>
      <c r="M79" s="4">
        <v>61.56</v>
      </c>
      <c r="N79" s="4">
        <v>39.99</v>
      </c>
      <c r="O79" s="82">
        <v>3085.2</v>
      </c>
      <c r="P79" s="33">
        <v>0.25</v>
      </c>
      <c r="Q79" s="4">
        <v>69.260000000000005</v>
      </c>
      <c r="R79" s="4">
        <v>73.849999999999994</v>
      </c>
      <c r="S79" s="82">
        <v>519.5</v>
      </c>
      <c r="T79" s="33">
        <v>0.69</v>
      </c>
      <c r="U79" s="4">
        <v>71.569999999999993</v>
      </c>
      <c r="V79" s="4">
        <v>72.88</v>
      </c>
      <c r="W79" s="82">
        <v>1040.2</v>
      </c>
      <c r="X79" s="33">
        <v>0.56000000000000005</v>
      </c>
      <c r="Y79" s="4">
        <v>71.53</v>
      </c>
      <c r="Z79" s="4">
        <v>72.3</v>
      </c>
      <c r="AA79" s="82">
        <v>1145.7</v>
      </c>
      <c r="AB79" s="33">
        <v>0.54</v>
      </c>
      <c r="AC79" s="4">
        <v>71.69</v>
      </c>
      <c r="AD79" s="4">
        <v>72.37</v>
      </c>
      <c r="AE79" s="82">
        <v>1154.2</v>
      </c>
      <c r="AF79" s="33">
        <v>0.54</v>
      </c>
      <c r="AG79" s="4">
        <v>71.69</v>
      </c>
      <c r="AH79" s="4">
        <v>72.349999999999994</v>
      </c>
      <c r="AI79" s="82">
        <v>1156.8</v>
      </c>
      <c r="AJ79" s="33">
        <v>0.54</v>
      </c>
    </row>
    <row r="80" spans="2:36" x14ac:dyDescent="0.2">
      <c r="B80" s="103"/>
      <c r="C80" s="105"/>
      <c r="D80" s="29">
        <v>50</v>
      </c>
      <c r="E80" s="4"/>
      <c r="F80" s="4"/>
      <c r="G80" s="1"/>
      <c r="H80" s="8"/>
      <c r="I80" s="4">
        <v>43.86</v>
      </c>
      <c r="J80" s="4"/>
      <c r="K80" s="82">
        <v>2133.5</v>
      </c>
      <c r="L80" s="33">
        <v>0.62</v>
      </c>
      <c r="M80" s="4">
        <v>58.04</v>
      </c>
      <c r="N80" s="4"/>
      <c r="O80" s="82">
        <v>2215.1999999999998</v>
      </c>
      <c r="P80" s="33">
        <v>0.46</v>
      </c>
      <c r="Q80" s="4">
        <v>67.48</v>
      </c>
      <c r="R80" s="4">
        <v>73.239999999999995</v>
      </c>
      <c r="S80" s="82">
        <v>414.6</v>
      </c>
      <c r="T80" s="33">
        <v>0.73</v>
      </c>
      <c r="U80" s="4">
        <v>70.989999999999995</v>
      </c>
      <c r="V80" s="4">
        <v>71.819999999999993</v>
      </c>
      <c r="W80" s="82">
        <v>1163.5999999999999</v>
      </c>
      <c r="X80" s="33">
        <v>0.54</v>
      </c>
      <c r="Y80" s="4">
        <v>70.709999999999994</v>
      </c>
      <c r="Z80" s="4">
        <v>72.75</v>
      </c>
      <c r="AA80" s="82">
        <v>951</v>
      </c>
      <c r="AB80" s="33">
        <v>0.59</v>
      </c>
      <c r="AC80" s="4">
        <v>70.489999999999995</v>
      </c>
      <c r="AD80" s="4">
        <v>73.19</v>
      </c>
      <c r="AE80" s="82">
        <v>833.9</v>
      </c>
      <c r="AF80" s="33">
        <v>0.61</v>
      </c>
      <c r="AG80" s="4">
        <v>70.510000000000005</v>
      </c>
      <c r="AH80" s="4">
        <v>73.05</v>
      </c>
      <c r="AI80" s="82">
        <v>865</v>
      </c>
      <c r="AJ80" s="33">
        <v>0.61</v>
      </c>
    </row>
    <row r="81" spans="2:36" x14ac:dyDescent="0.2">
      <c r="B81" s="103"/>
      <c r="C81" s="105"/>
      <c r="D81" s="30">
        <v>91</v>
      </c>
      <c r="E81" s="27"/>
      <c r="F81" s="27"/>
      <c r="G81" s="26"/>
      <c r="H81" s="32"/>
      <c r="I81" s="27">
        <v>49.53</v>
      </c>
      <c r="J81" s="27">
        <v>37.090000000000003</v>
      </c>
      <c r="K81" s="83">
        <v>2525.6</v>
      </c>
      <c r="L81" s="52">
        <v>0.49</v>
      </c>
      <c r="M81" s="27">
        <v>53.42</v>
      </c>
      <c r="N81" s="27">
        <v>38.11</v>
      </c>
      <c r="O81" s="83">
        <v>2548.4</v>
      </c>
      <c r="P81" s="52">
        <v>0.44</v>
      </c>
      <c r="Q81" s="27">
        <v>71.06</v>
      </c>
      <c r="R81" s="27">
        <v>72.27</v>
      </c>
      <c r="S81" s="83">
        <v>1078.8</v>
      </c>
      <c r="T81" s="52">
        <v>0.56000000000000005</v>
      </c>
      <c r="U81" s="27">
        <v>71.650000000000006</v>
      </c>
      <c r="V81" s="27">
        <v>72.81</v>
      </c>
      <c r="W81" s="83">
        <v>1065.2</v>
      </c>
      <c r="X81" s="52">
        <v>0.56000000000000005</v>
      </c>
      <c r="Y81" s="27">
        <v>71.62</v>
      </c>
      <c r="Z81" s="27">
        <v>72.510000000000005</v>
      </c>
      <c r="AA81" s="83">
        <v>1118.7</v>
      </c>
      <c r="AB81" s="52">
        <v>0.55000000000000004</v>
      </c>
      <c r="AC81" s="27">
        <v>71.760000000000005</v>
      </c>
      <c r="AD81" s="27">
        <v>72.099999999999994</v>
      </c>
      <c r="AE81" s="83">
        <v>1210.7</v>
      </c>
      <c r="AF81" s="52">
        <v>0.53</v>
      </c>
      <c r="AG81" s="27">
        <v>71.75</v>
      </c>
      <c r="AH81" s="27">
        <v>72.12</v>
      </c>
      <c r="AI81" s="83">
        <v>1208.2</v>
      </c>
      <c r="AJ81" s="52">
        <v>0.53</v>
      </c>
    </row>
    <row r="82" spans="2:36" x14ac:dyDescent="0.2">
      <c r="B82" s="101"/>
      <c r="C82" s="105"/>
      <c r="D82" s="6" t="s">
        <v>8</v>
      </c>
      <c r="E82" s="7" t="e">
        <f t="shared" ref="E82:AJ82" si="34">AVERAGE(E77:E81)</f>
        <v>#DIV/0!</v>
      </c>
      <c r="F82" s="7" t="e">
        <f t="shared" si="34"/>
        <v>#DIV/0!</v>
      </c>
      <c r="G82" s="35" t="e">
        <f t="shared" si="34"/>
        <v>#DIV/0!</v>
      </c>
      <c r="H82" s="34" t="e">
        <f t="shared" si="34"/>
        <v>#DIV/0!</v>
      </c>
      <c r="I82" s="7">
        <f t="shared" si="34"/>
        <v>50.031999999999996</v>
      </c>
      <c r="J82" s="7">
        <f t="shared" si="34"/>
        <v>41.25</v>
      </c>
      <c r="K82" s="35">
        <f t="shared" si="34"/>
        <v>2264.1799999999998</v>
      </c>
      <c r="L82" s="34">
        <f t="shared" si="34"/>
        <v>0.53400000000000003</v>
      </c>
      <c r="M82" s="7">
        <f t="shared" si="34"/>
        <v>54.603999999999999</v>
      </c>
      <c r="N82" s="7">
        <f t="shared" si="34"/>
        <v>47.839999999999996</v>
      </c>
      <c r="O82" s="35">
        <f t="shared" si="34"/>
        <v>2541.96</v>
      </c>
      <c r="P82" s="34">
        <f t="shared" si="34"/>
        <v>0.43</v>
      </c>
      <c r="Q82" s="7">
        <f t="shared" si="34"/>
        <v>69.323999999999998</v>
      </c>
      <c r="R82" s="7">
        <f t="shared" si="34"/>
        <v>70.83</v>
      </c>
      <c r="S82" s="35">
        <f t="shared" si="34"/>
        <v>1069.96</v>
      </c>
      <c r="T82" s="34">
        <f t="shared" si="34"/>
        <v>0.57999999999999996</v>
      </c>
      <c r="U82" s="7">
        <f t="shared" si="34"/>
        <v>71.26400000000001</v>
      </c>
      <c r="V82" s="7">
        <f t="shared" si="34"/>
        <v>71.974000000000004</v>
      </c>
      <c r="W82" s="35">
        <f t="shared" si="34"/>
        <v>1167.3999999999999</v>
      </c>
      <c r="X82" s="34">
        <f t="shared" si="34"/>
        <v>0.54</v>
      </c>
      <c r="Y82" s="7">
        <f t="shared" si="34"/>
        <v>71.191999999999993</v>
      </c>
      <c r="Z82" s="7">
        <f t="shared" si="34"/>
        <v>71.905999999999992</v>
      </c>
      <c r="AA82" s="35">
        <f t="shared" si="34"/>
        <v>1170.6799999999998</v>
      </c>
      <c r="AB82" s="34">
        <f t="shared" si="34"/>
        <v>0.54200000000000004</v>
      </c>
      <c r="AC82" s="7">
        <f t="shared" si="34"/>
        <v>71.191999999999993</v>
      </c>
      <c r="AD82" s="7">
        <f t="shared" si="34"/>
        <v>72.073999999999998</v>
      </c>
      <c r="AE82" s="35">
        <f t="shared" si="34"/>
        <v>1140.4999999999998</v>
      </c>
      <c r="AF82" s="34">
        <f t="shared" si="34"/>
        <v>0.54600000000000004</v>
      </c>
      <c r="AG82" s="7">
        <f t="shared" si="34"/>
        <v>71.212000000000003</v>
      </c>
      <c r="AH82" s="7">
        <f t="shared" si="34"/>
        <v>72.072000000000003</v>
      </c>
      <c r="AI82" s="35">
        <f t="shared" si="34"/>
        <v>1143.8399999999999</v>
      </c>
      <c r="AJ82" s="34">
        <f t="shared" si="34"/>
        <v>0.54600000000000004</v>
      </c>
    </row>
    <row r="83" spans="2:36" x14ac:dyDescent="0.2">
      <c r="B83" s="104">
        <v>1</v>
      </c>
      <c r="C83" s="105"/>
      <c r="D83" s="28">
        <v>13</v>
      </c>
      <c r="E83" s="25"/>
      <c r="F83" s="25"/>
      <c r="G83" s="25"/>
      <c r="H83" s="31"/>
      <c r="I83" s="4">
        <v>53.47</v>
      </c>
      <c r="J83" s="4">
        <v>36.020000000000003</v>
      </c>
      <c r="K83" s="82">
        <v>3475.9</v>
      </c>
      <c r="L83" s="33">
        <v>0.26</v>
      </c>
      <c r="M83" s="4">
        <v>48.61</v>
      </c>
      <c r="N83" s="4">
        <v>65.42</v>
      </c>
      <c r="O83" s="82">
        <v>0</v>
      </c>
      <c r="P83" s="33">
        <v>1</v>
      </c>
      <c r="Q83" s="4">
        <v>69.63</v>
      </c>
      <c r="R83" s="4">
        <v>69.2</v>
      </c>
      <c r="S83" s="82">
        <v>1438.9</v>
      </c>
      <c r="T83" s="33">
        <v>0.5</v>
      </c>
      <c r="U83" s="4">
        <v>71.790000000000006</v>
      </c>
      <c r="V83" s="4">
        <v>70.05</v>
      </c>
      <c r="W83" s="82">
        <v>1561.2</v>
      </c>
      <c r="X83" s="33">
        <v>0.46</v>
      </c>
      <c r="Y83" s="4">
        <v>71.709999999999994</v>
      </c>
      <c r="Z83" s="4">
        <v>70.23</v>
      </c>
      <c r="AA83" s="82">
        <v>1523.7</v>
      </c>
      <c r="AB83" s="33">
        <v>0.46</v>
      </c>
      <c r="AC83" s="4">
        <v>71.84</v>
      </c>
      <c r="AD83" s="4">
        <v>71.36</v>
      </c>
      <c r="AE83" s="82">
        <v>1352.6</v>
      </c>
      <c r="AF83" s="33">
        <v>0.5</v>
      </c>
      <c r="AG83" s="4">
        <v>71.89</v>
      </c>
      <c r="AH83" s="4">
        <v>71.59</v>
      </c>
      <c r="AI83" s="82">
        <v>1319.4</v>
      </c>
      <c r="AJ83" s="33">
        <v>0.5</v>
      </c>
    </row>
    <row r="84" spans="2:36" x14ac:dyDescent="0.2">
      <c r="B84" s="105"/>
      <c r="C84" s="105"/>
      <c r="D84" s="29">
        <v>21</v>
      </c>
      <c r="E84" s="4"/>
      <c r="F84" s="4"/>
      <c r="G84" s="1"/>
      <c r="H84" s="8"/>
      <c r="I84" s="4">
        <v>60.02</v>
      </c>
      <c r="J84" s="4">
        <v>59.66</v>
      </c>
      <c r="K84" s="82">
        <v>1904.3</v>
      </c>
      <c r="L84" s="33">
        <v>0.51</v>
      </c>
      <c r="M84" s="4">
        <v>51.52</v>
      </c>
      <c r="N84" s="4"/>
      <c r="O84" s="82">
        <v>4831.8</v>
      </c>
      <c r="P84" s="33">
        <v>0</v>
      </c>
      <c r="Q84" s="4">
        <v>67.61</v>
      </c>
      <c r="R84" s="4">
        <v>60.78</v>
      </c>
      <c r="S84" s="82">
        <v>2346</v>
      </c>
      <c r="T84" s="33">
        <v>0.34</v>
      </c>
      <c r="U84" s="4">
        <v>70.22</v>
      </c>
      <c r="V84" s="4">
        <v>71.290000000000006</v>
      </c>
      <c r="W84" s="82">
        <v>1164</v>
      </c>
      <c r="X84" s="33">
        <v>0.55000000000000004</v>
      </c>
      <c r="Y84" s="4">
        <v>70.28</v>
      </c>
      <c r="Z84" s="4">
        <v>71.14</v>
      </c>
      <c r="AA84" s="82">
        <v>1198.0999999999999</v>
      </c>
      <c r="AB84" s="33">
        <v>0.54</v>
      </c>
      <c r="AC84" s="4">
        <v>70.209999999999994</v>
      </c>
      <c r="AD84" s="4">
        <v>71.27</v>
      </c>
      <c r="AE84" s="82">
        <v>1164.9000000000001</v>
      </c>
      <c r="AF84" s="33">
        <v>0.55000000000000004</v>
      </c>
      <c r="AG84" s="4">
        <v>70.22</v>
      </c>
      <c r="AH84" s="4">
        <v>71.25</v>
      </c>
      <c r="AI84" s="82">
        <v>1170</v>
      </c>
      <c r="AJ84" s="33">
        <v>0.55000000000000004</v>
      </c>
    </row>
    <row r="85" spans="2:36" x14ac:dyDescent="0.2">
      <c r="B85" s="105"/>
      <c r="C85" s="105"/>
      <c r="D85" s="29">
        <v>47</v>
      </c>
      <c r="E85" s="4"/>
      <c r="F85" s="4"/>
      <c r="G85" s="1"/>
      <c r="H85" s="8"/>
      <c r="I85" s="4">
        <v>49.1</v>
      </c>
      <c r="J85" s="4">
        <v>65.63</v>
      </c>
      <c r="K85" s="82">
        <v>3.9</v>
      </c>
      <c r="L85" s="33">
        <v>0.99</v>
      </c>
      <c r="M85" s="4">
        <v>68.56</v>
      </c>
      <c r="N85" s="4">
        <v>65.650000000000006</v>
      </c>
      <c r="O85" s="82">
        <v>1813.9</v>
      </c>
      <c r="P85" s="33">
        <v>0.44</v>
      </c>
      <c r="Q85" s="4">
        <v>69.41</v>
      </c>
      <c r="R85" s="4">
        <v>73.44</v>
      </c>
      <c r="S85" s="82">
        <v>624.1</v>
      </c>
      <c r="T85" s="33">
        <v>0.67</v>
      </c>
      <c r="U85" s="4">
        <v>71.510000000000005</v>
      </c>
      <c r="V85" s="4">
        <v>73.11</v>
      </c>
      <c r="W85" s="82">
        <v>986.7</v>
      </c>
      <c r="X85" s="33">
        <v>0.56999999999999995</v>
      </c>
      <c r="Y85" s="4">
        <v>71.5</v>
      </c>
      <c r="Z85" s="4">
        <v>72.23</v>
      </c>
      <c r="AA85" s="82">
        <v>1155.2</v>
      </c>
      <c r="AB85" s="33">
        <v>0.54</v>
      </c>
      <c r="AC85" s="4">
        <v>71.7</v>
      </c>
      <c r="AD85" s="4">
        <v>72.349999999999994</v>
      </c>
      <c r="AE85" s="82">
        <v>1159.4000000000001</v>
      </c>
      <c r="AF85" s="33">
        <v>0.54</v>
      </c>
      <c r="AG85" s="4">
        <v>71.7</v>
      </c>
      <c r="AH85" s="4">
        <v>72.34</v>
      </c>
      <c r="AI85" s="82">
        <v>1160.8</v>
      </c>
      <c r="AJ85" s="33">
        <v>0.54</v>
      </c>
    </row>
    <row r="86" spans="2:36" x14ac:dyDescent="0.2">
      <c r="B86" s="105"/>
      <c r="C86" s="105"/>
      <c r="D86" s="29">
        <v>50</v>
      </c>
      <c r="E86" s="4"/>
      <c r="F86" s="4"/>
      <c r="G86" s="1"/>
      <c r="H86" s="8"/>
      <c r="I86" s="4">
        <v>45.98</v>
      </c>
      <c r="J86" s="4"/>
      <c r="K86" s="82">
        <v>4265.6000000000004</v>
      </c>
      <c r="L86" s="33">
        <v>0.17</v>
      </c>
      <c r="M86" s="4">
        <v>52.12</v>
      </c>
      <c r="N86" s="4"/>
      <c r="O86" s="82">
        <v>4782.6000000000004</v>
      </c>
      <c r="P86" s="33">
        <v>0.01</v>
      </c>
      <c r="Q86" s="4">
        <v>62.17</v>
      </c>
      <c r="R86" s="4">
        <v>71.33</v>
      </c>
      <c r="S86" s="82">
        <v>184</v>
      </c>
      <c r="T86" s="33">
        <v>0.83</v>
      </c>
      <c r="U86" s="4">
        <v>71.02</v>
      </c>
      <c r="V86" s="4">
        <v>70.400000000000006</v>
      </c>
      <c r="W86" s="82">
        <v>1412.7</v>
      </c>
      <c r="X86" s="33">
        <v>0.49</v>
      </c>
      <c r="Y86" s="4">
        <v>70.72</v>
      </c>
      <c r="Z86" s="4">
        <v>72.5</v>
      </c>
      <c r="AA86" s="82">
        <v>1001.1</v>
      </c>
      <c r="AB86" s="33">
        <v>0.57999999999999996</v>
      </c>
      <c r="AC86" s="4">
        <v>70.52</v>
      </c>
      <c r="AD86" s="4">
        <v>73.319999999999993</v>
      </c>
      <c r="AE86" s="82">
        <v>810.4</v>
      </c>
      <c r="AF86" s="33">
        <v>0.62</v>
      </c>
      <c r="AG86" s="4">
        <v>70.52</v>
      </c>
      <c r="AH86" s="4">
        <v>73.06</v>
      </c>
      <c r="AI86" s="82">
        <v>865.1</v>
      </c>
      <c r="AJ86" s="33">
        <v>0.61</v>
      </c>
    </row>
    <row r="87" spans="2:36" x14ac:dyDescent="0.2">
      <c r="B87" s="105"/>
      <c r="C87" s="105"/>
      <c r="D87" s="30">
        <v>91</v>
      </c>
      <c r="E87" s="27"/>
      <c r="F87" s="27"/>
      <c r="G87" s="26"/>
      <c r="H87" s="32"/>
      <c r="I87" s="27">
        <v>48.86</v>
      </c>
      <c r="J87" s="27">
        <v>65.319999999999993</v>
      </c>
      <c r="K87" s="83">
        <v>42.9</v>
      </c>
      <c r="L87" s="52">
        <v>0.99</v>
      </c>
      <c r="M87" s="27">
        <v>60.96</v>
      </c>
      <c r="N87" s="27">
        <v>69.430000000000007</v>
      </c>
      <c r="O87" s="83">
        <v>365.4</v>
      </c>
      <c r="P87" s="52">
        <v>0.8</v>
      </c>
      <c r="Q87" s="27">
        <v>70.97</v>
      </c>
      <c r="R87" s="27">
        <v>69.94</v>
      </c>
      <c r="S87" s="83">
        <v>1469</v>
      </c>
      <c r="T87" s="52">
        <v>0.48</v>
      </c>
      <c r="U87" s="27">
        <v>71.680000000000007</v>
      </c>
      <c r="V87" s="27">
        <v>72.77</v>
      </c>
      <c r="W87" s="83">
        <v>1076.8</v>
      </c>
      <c r="X87" s="52">
        <v>0.55000000000000004</v>
      </c>
      <c r="Y87" s="27">
        <v>71.62</v>
      </c>
      <c r="Z87" s="27">
        <v>72.38</v>
      </c>
      <c r="AA87" s="83">
        <v>1141.7</v>
      </c>
      <c r="AB87" s="52">
        <v>0.54</v>
      </c>
      <c r="AC87" s="27">
        <v>71.760000000000005</v>
      </c>
      <c r="AD87" s="27">
        <v>72.069999999999993</v>
      </c>
      <c r="AE87" s="83">
        <v>1216.5999999999999</v>
      </c>
      <c r="AF87" s="52">
        <v>0.53</v>
      </c>
      <c r="AG87" s="27">
        <v>71.760000000000005</v>
      </c>
      <c r="AH87" s="27">
        <v>72.12</v>
      </c>
      <c r="AI87" s="83">
        <v>1208.5999999999999</v>
      </c>
      <c r="AJ87" s="52">
        <v>0.53</v>
      </c>
    </row>
    <row r="88" spans="2:36" x14ac:dyDescent="0.2">
      <c r="B88" s="106"/>
      <c r="C88" s="105"/>
      <c r="D88" s="6" t="s">
        <v>8</v>
      </c>
      <c r="E88" s="7" t="e">
        <f t="shared" ref="E88:AJ88" si="35">AVERAGE(E83:E87)</f>
        <v>#DIV/0!</v>
      </c>
      <c r="F88" s="7" t="e">
        <f t="shared" si="35"/>
        <v>#DIV/0!</v>
      </c>
      <c r="G88" s="35" t="e">
        <f t="shared" si="35"/>
        <v>#DIV/0!</v>
      </c>
      <c r="H88" s="34" t="e">
        <f t="shared" si="35"/>
        <v>#DIV/0!</v>
      </c>
      <c r="I88" s="7">
        <f t="shared" si="35"/>
        <v>51.486000000000004</v>
      </c>
      <c r="J88" s="7">
        <f t="shared" si="35"/>
        <v>56.657499999999999</v>
      </c>
      <c r="K88" s="35">
        <f t="shared" si="35"/>
        <v>1938.52</v>
      </c>
      <c r="L88" s="34">
        <f t="shared" si="35"/>
        <v>0.58399999999999996</v>
      </c>
      <c r="M88" s="7">
        <f t="shared" si="35"/>
        <v>56.353999999999999</v>
      </c>
      <c r="N88" s="7">
        <f t="shared" si="35"/>
        <v>66.833333333333329</v>
      </c>
      <c r="O88" s="35">
        <f t="shared" si="35"/>
        <v>2358.7400000000002</v>
      </c>
      <c r="P88" s="34">
        <f t="shared" si="35"/>
        <v>0.45</v>
      </c>
      <c r="Q88" s="7">
        <f t="shared" si="35"/>
        <v>67.957999999999998</v>
      </c>
      <c r="R88" s="7">
        <f t="shared" si="35"/>
        <v>68.938000000000002</v>
      </c>
      <c r="S88" s="35">
        <f t="shared" si="35"/>
        <v>1212.4000000000001</v>
      </c>
      <c r="T88" s="34">
        <f t="shared" si="35"/>
        <v>0.56400000000000006</v>
      </c>
      <c r="U88" s="7">
        <f t="shared" si="35"/>
        <v>71.244</v>
      </c>
      <c r="V88" s="7">
        <f t="shared" si="35"/>
        <v>71.524000000000001</v>
      </c>
      <c r="W88" s="35">
        <f t="shared" si="35"/>
        <v>1240.28</v>
      </c>
      <c r="X88" s="34">
        <f t="shared" si="35"/>
        <v>0.52400000000000002</v>
      </c>
      <c r="Y88" s="7">
        <f t="shared" si="35"/>
        <v>71.166000000000011</v>
      </c>
      <c r="Z88" s="7">
        <f t="shared" si="35"/>
        <v>71.695999999999998</v>
      </c>
      <c r="AA88" s="35">
        <f t="shared" si="35"/>
        <v>1203.96</v>
      </c>
      <c r="AB88" s="34">
        <f t="shared" si="35"/>
        <v>0.53200000000000003</v>
      </c>
      <c r="AC88" s="7">
        <f t="shared" si="35"/>
        <v>71.205999999999989</v>
      </c>
      <c r="AD88" s="7">
        <f t="shared" si="35"/>
        <v>72.073999999999984</v>
      </c>
      <c r="AE88" s="35">
        <f t="shared" si="35"/>
        <v>1140.78</v>
      </c>
      <c r="AF88" s="34">
        <f t="shared" si="35"/>
        <v>0.54800000000000004</v>
      </c>
      <c r="AG88" s="7">
        <f t="shared" si="35"/>
        <v>71.217999999999989</v>
      </c>
      <c r="AH88" s="7">
        <f t="shared" si="35"/>
        <v>72.072000000000003</v>
      </c>
      <c r="AI88" s="35">
        <f t="shared" si="35"/>
        <v>1144.78</v>
      </c>
      <c r="AJ88" s="34">
        <f t="shared" si="35"/>
        <v>0.54600000000000004</v>
      </c>
    </row>
    <row r="89" spans="2:36" x14ac:dyDescent="0.2">
      <c r="B89" s="104"/>
      <c r="C89" s="105"/>
      <c r="D89" s="28" t="s">
        <v>48</v>
      </c>
      <c r="E89" s="25"/>
      <c r="F89" s="25"/>
      <c r="G89" s="25"/>
      <c r="H89" s="31"/>
      <c r="I89" s="51">
        <f>STDEV(I58,I64,I70,I76,I82,I88)</f>
        <v>5.026340802877046</v>
      </c>
      <c r="J89" s="51" t="e">
        <f t="shared" ref="J89" si="36">STDEV(J58,J64,J70,J76,J82,J88)</f>
        <v>#DIV/0!</v>
      </c>
      <c r="K89" s="51">
        <f t="shared" ref="K89" si="37">STDEV(K58,K64,K70,K76,K82,K88)</f>
        <v>892.65802010997788</v>
      </c>
      <c r="L89" s="51">
        <f t="shared" ref="L89" si="38">STDEV(L58,L64,L70,L76,L82,L88)</f>
        <v>0.14250223390061872</v>
      </c>
      <c r="M89" s="51">
        <f t="shared" ref="M89" si="39">STDEV(M58,M64,M70,M76,M82,M88)</f>
        <v>6.3684715173004154</v>
      </c>
      <c r="N89" s="51">
        <f t="shared" ref="N89" si="40">STDEV(N58,N64,N70,N76,N82,N88)</f>
        <v>8.085461626803907</v>
      </c>
      <c r="O89" s="51">
        <f t="shared" ref="O89" si="41">STDEV(O58,O64,O70,O76,O82,O88)</f>
        <v>490.27150317621772</v>
      </c>
      <c r="P89" s="51">
        <f t="shared" ref="P89" si="42">STDEV(P58,P64,P70,P76,P82,P88)</f>
        <v>3.7875673811388046E-2</v>
      </c>
      <c r="Q89" s="51">
        <f t="shared" ref="Q89" si="43">STDEV(Q58,Q64,Q70,Q76,Q82,Q88)</f>
        <v>1.2229197847773983</v>
      </c>
      <c r="R89" s="51">
        <f t="shared" ref="R89" si="44">STDEV(R58,R64,R70,R76,R82,R88)</f>
        <v>1.152856915088194</v>
      </c>
      <c r="S89" s="51">
        <f t="shared" ref="S89" si="45">STDEV(S58,S64,S70,S76,S82,S88)</f>
        <v>94.379750935604122</v>
      </c>
      <c r="T89" s="51">
        <f t="shared" ref="T89" si="46">STDEV(T58,T64,T70,T76,T82,T88)</f>
        <v>2.360395447094971E-2</v>
      </c>
      <c r="U89" s="51">
        <f t="shared" ref="U89" si="47">STDEV(U58,U64,U70,U76,U82,U88)</f>
        <v>3.5552777669264714E-2</v>
      </c>
      <c r="V89" s="51">
        <f t="shared" ref="V89" si="48">STDEV(V58,V64,V70,V76,V82,V88)</f>
        <v>0.22072124199239918</v>
      </c>
      <c r="W89" s="51">
        <f t="shared" ref="W89" si="49">STDEV(W58,W64,W70,W76,W82,W88)</f>
        <v>38.403653298438485</v>
      </c>
      <c r="X89" s="51">
        <f t="shared" ref="X89" si="50">STDEV(X58,X64,X70,X76,X82,X88)</f>
        <v>8.9502327716471583E-3</v>
      </c>
      <c r="Y89" s="51">
        <f t="shared" ref="Y89" si="51">STDEV(Y58,Y64,Y70,Y76,Y82,Y88)</f>
        <v>1.2181953866270821E-2</v>
      </c>
      <c r="Z89" s="51">
        <f t="shared" ref="Z89" si="52">STDEV(Z58,Z64,Z70,Z76,Z82,Z88)</f>
        <v>0.14525793151035457</v>
      </c>
      <c r="AA89" s="51">
        <f t="shared" ref="AA89" si="53">STDEV(AA58,AA64,AA70,AA76,AA82,AA88)</f>
        <v>24.609843288137064</v>
      </c>
      <c r="AB89" s="51">
        <f t="shared" ref="AB89" si="54">STDEV(AB58,AB64,AB70,AB76,AB82,AB88)</f>
        <v>5.4018515344278093E-3</v>
      </c>
      <c r="AC89" s="51">
        <f t="shared" ref="AC89" si="55">STDEV(AC58,AC64,AC70,AC76,AC82,AC88)</f>
        <v>6.1210020966106383E-3</v>
      </c>
      <c r="AD89" s="51">
        <f t="shared" ref="AD89" si="56">STDEV(AD58,AD64,AD70,AD76,AD82,AD88)</f>
        <v>9.959919678390031E-3</v>
      </c>
      <c r="AE89" s="51">
        <f t="shared" ref="AE89" si="57">STDEV(AE58,AE64,AE70,AE76,AE82,AE88)</f>
        <v>2.2448310998083949</v>
      </c>
      <c r="AF89" s="51">
        <f t="shared" ref="AF89" si="58">STDEV(AF58,AF64,AF70,AF76,AF82,AF88)</f>
        <v>1.0327955589886396E-3</v>
      </c>
      <c r="AG89" s="51">
        <f t="shared" ref="AG89" si="59">STDEV(AG58,AG64,AG70,AG76,AG82,AG88)</f>
        <v>8.5556998544836314E-3</v>
      </c>
      <c r="AH89" s="51">
        <f t="shared" ref="AH89" si="60">STDEV(AH58,AH64,AH70,AH76,AH82,AH88)</f>
        <v>1.0557777543908325E-2</v>
      </c>
      <c r="AI89" s="51">
        <f t="shared" ref="AI89" si="61">STDEV(AI58,AI64,AI70,AI76,AI82,AI88)</f>
        <v>0.72118421132659294</v>
      </c>
      <c r="AJ89" s="51">
        <f t="shared" ref="AJ89" si="62">STDEV(AJ58,AJ64,AJ70,AJ76,AJ82,AJ88)</f>
        <v>4.898979485566269E-4</v>
      </c>
    </row>
    <row r="90" spans="2:36" x14ac:dyDescent="0.2">
      <c r="B90" s="105"/>
      <c r="C90" s="105"/>
      <c r="D90" s="29"/>
      <c r="E90" s="4"/>
      <c r="F90" s="4"/>
      <c r="G90" s="1"/>
      <c r="H90" s="33"/>
      <c r="I90" s="4"/>
      <c r="J90" s="4"/>
      <c r="K90" s="1"/>
      <c r="L90" s="33"/>
      <c r="M90" s="4"/>
      <c r="N90" s="4"/>
      <c r="O90" s="1"/>
      <c r="P90" s="33"/>
      <c r="Q90" s="4"/>
      <c r="R90" s="4"/>
      <c r="S90" s="1"/>
      <c r="T90" s="33"/>
      <c r="U90" s="4"/>
      <c r="V90" s="4"/>
      <c r="W90" s="1"/>
      <c r="X90" s="33"/>
      <c r="Y90" s="4"/>
      <c r="Z90" s="4"/>
      <c r="AA90" s="1"/>
      <c r="AB90" s="33"/>
      <c r="AC90" s="4"/>
      <c r="AD90" s="4"/>
      <c r="AE90" s="1"/>
      <c r="AF90" s="33"/>
      <c r="AG90" s="4"/>
      <c r="AH90" s="4"/>
      <c r="AI90" s="1"/>
      <c r="AJ90" s="33"/>
    </row>
    <row r="91" spans="2:36" x14ac:dyDescent="0.2">
      <c r="B91" s="105"/>
      <c r="C91" s="105"/>
      <c r="D91" s="29"/>
      <c r="E91" s="4"/>
      <c r="F91" s="4"/>
      <c r="G91" s="1"/>
      <c r="H91" s="8"/>
      <c r="I91" s="4"/>
      <c r="J91" s="4"/>
      <c r="K91" s="1"/>
      <c r="L91" s="8"/>
      <c r="M91" s="4"/>
      <c r="N91" s="4"/>
      <c r="O91" s="1"/>
      <c r="P91" s="8"/>
      <c r="Q91" s="4"/>
      <c r="R91" s="4"/>
      <c r="S91" s="1"/>
      <c r="T91" s="8"/>
      <c r="U91" s="4"/>
      <c r="V91" s="4"/>
      <c r="W91" s="1"/>
      <c r="X91" s="8"/>
      <c r="Y91" s="4"/>
      <c r="Z91" s="4"/>
      <c r="AA91" s="1"/>
      <c r="AB91" s="8"/>
      <c r="AC91" s="4"/>
      <c r="AD91" s="4"/>
      <c r="AE91" s="1"/>
      <c r="AF91" s="8"/>
      <c r="AG91" s="4"/>
      <c r="AH91" s="4"/>
      <c r="AI91" s="1"/>
      <c r="AJ91" s="8"/>
    </row>
    <row r="92" spans="2:36" x14ac:dyDescent="0.2">
      <c r="B92" s="105"/>
      <c r="C92" s="105"/>
      <c r="D92" s="29"/>
      <c r="E92" s="4"/>
      <c r="F92" s="4"/>
      <c r="G92" s="1"/>
      <c r="H92" s="8"/>
      <c r="I92" s="4"/>
      <c r="J92" s="4"/>
      <c r="K92" s="1"/>
      <c r="L92" s="8"/>
      <c r="M92" s="4"/>
      <c r="N92" s="4"/>
      <c r="O92" s="1"/>
      <c r="P92" s="8"/>
      <c r="Q92" s="4"/>
      <c r="R92" s="4"/>
      <c r="S92" s="1"/>
      <c r="T92" s="8"/>
      <c r="U92" s="4"/>
      <c r="V92" s="4"/>
      <c r="W92" s="1"/>
      <c r="X92" s="8"/>
      <c r="Y92" s="4"/>
      <c r="Z92" s="4"/>
      <c r="AA92" s="1"/>
      <c r="AB92" s="8"/>
      <c r="AC92" s="4"/>
      <c r="AD92" s="4"/>
      <c r="AE92" s="1"/>
      <c r="AF92" s="8"/>
      <c r="AG92" s="4"/>
      <c r="AH92" s="4"/>
      <c r="AI92" s="1"/>
      <c r="AJ92" s="8"/>
    </row>
    <row r="93" spans="2:36" x14ac:dyDescent="0.2">
      <c r="B93" s="105"/>
      <c r="C93" s="105"/>
      <c r="D93" s="30"/>
      <c r="E93" s="27"/>
      <c r="F93" s="27"/>
      <c r="G93" s="26"/>
      <c r="H93" s="32"/>
      <c r="I93" s="27"/>
      <c r="J93" s="27"/>
      <c r="K93" s="26"/>
      <c r="L93" s="32"/>
      <c r="M93" s="27"/>
      <c r="N93" s="27"/>
      <c r="O93" s="26"/>
      <c r="P93" s="32"/>
      <c r="Q93" s="27"/>
      <c r="R93" s="27"/>
      <c r="S93" s="26"/>
      <c r="T93" s="32"/>
      <c r="U93" s="27"/>
      <c r="V93" s="27"/>
      <c r="W93" s="26"/>
      <c r="X93" s="32"/>
      <c r="Y93" s="27"/>
      <c r="Z93" s="27"/>
      <c r="AA93" s="26"/>
      <c r="AB93" s="32"/>
      <c r="AC93" s="27"/>
      <c r="AD93" s="27"/>
      <c r="AE93" s="26"/>
      <c r="AF93" s="32"/>
      <c r="AG93" s="27"/>
      <c r="AH93" s="27"/>
      <c r="AI93" s="26"/>
      <c r="AJ93" s="32"/>
    </row>
    <row r="94" spans="2:36" x14ac:dyDescent="0.2">
      <c r="B94" s="106"/>
      <c r="C94" s="106"/>
      <c r="D94" s="6"/>
      <c r="E94" s="7"/>
      <c r="F94" s="7"/>
      <c r="G94" s="35"/>
      <c r="H94" s="34"/>
      <c r="I94" s="7"/>
      <c r="J94" s="7"/>
      <c r="K94" s="35"/>
      <c r="L94" s="34"/>
      <c r="M94" s="7"/>
      <c r="N94" s="7"/>
      <c r="O94" s="35"/>
      <c r="P94" s="34"/>
      <c r="Q94" s="7"/>
      <c r="R94" s="7"/>
      <c r="S94" s="35"/>
      <c r="T94" s="34"/>
      <c r="U94" s="7"/>
      <c r="V94" s="7"/>
      <c r="W94" s="35"/>
      <c r="X94" s="34"/>
      <c r="Y94" s="7"/>
      <c r="Z94" s="7"/>
      <c r="AA94" s="35"/>
      <c r="AB94" s="34"/>
      <c r="AC94" s="7"/>
      <c r="AD94" s="7"/>
      <c r="AE94" s="35"/>
      <c r="AF94" s="34"/>
      <c r="AG94" s="7"/>
      <c r="AH94" s="7"/>
      <c r="AI94" s="35"/>
      <c r="AJ94" s="34"/>
    </row>
  </sheetData>
  <mergeCells count="34">
    <mergeCell ref="Y4:AB4"/>
    <mergeCell ref="AC4:AF4"/>
    <mergeCell ref="AG4:AJ4"/>
    <mergeCell ref="B6:B11"/>
    <mergeCell ref="B18:B23"/>
    <mergeCell ref="B4:B5"/>
    <mergeCell ref="C4:H4"/>
    <mergeCell ref="I4:L4"/>
    <mergeCell ref="M4:P4"/>
    <mergeCell ref="Q4:T4"/>
    <mergeCell ref="U4:X4"/>
    <mergeCell ref="U51:X51"/>
    <mergeCell ref="B30:B35"/>
    <mergeCell ref="B36:B41"/>
    <mergeCell ref="B42:B47"/>
    <mergeCell ref="B12:B17"/>
    <mergeCell ref="C6:C47"/>
    <mergeCell ref="B24:B29"/>
    <mergeCell ref="B89:B94"/>
    <mergeCell ref="Y51:AB51"/>
    <mergeCell ref="AC51:AF51"/>
    <mergeCell ref="AG51:AJ51"/>
    <mergeCell ref="B53:B58"/>
    <mergeCell ref="C53:C94"/>
    <mergeCell ref="B59:B64"/>
    <mergeCell ref="B65:B70"/>
    <mergeCell ref="B71:B76"/>
    <mergeCell ref="B77:B82"/>
    <mergeCell ref="B83:B88"/>
    <mergeCell ref="B51:B52"/>
    <mergeCell ref="C51:H51"/>
    <mergeCell ref="I51:L51"/>
    <mergeCell ref="M51:P51"/>
    <mergeCell ref="Q51:T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F752-F2C3-450F-B894-80735F3CAFF2}">
  <dimension ref="A2:AN524"/>
  <sheetViews>
    <sheetView topLeftCell="E395" workbookViewId="0">
      <selection activeCell="Q437" sqref="Q437:R437"/>
    </sheetView>
  </sheetViews>
  <sheetFormatPr baseColWidth="10" defaultColWidth="8.83203125" defaultRowHeight="15" x14ac:dyDescent="0.2"/>
  <cols>
    <col min="36" max="36" width="9.33203125" bestFit="1" customWidth="1"/>
  </cols>
  <sheetData>
    <row r="2" spans="2:16" x14ac:dyDescent="0.2">
      <c r="B2" s="107" t="s">
        <v>0</v>
      </c>
      <c r="C2" s="108"/>
      <c r="D2" s="108"/>
      <c r="E2" s="108"/>
      <c r="F2" s="111"/>
      <c r="G2" s="108" t="s">
        <v>1</v>
      </c>
      <c r="H2" s="108"/>
      <c r="I2" s="108"/>
      <c r="J2" s="108"/>
      <c r="K2" s="111"/>
      <c r="L2" s="108" t="s">
        <v>2</v>
      </c>
      <c r="M2" s="108"/>
      <c r="N2" s="108"/>
      <c r="O2" s="108"/>
      <c r="P2" s="111"/>
    </row>
    <row r="3" spans="2:16" x14ac:dyDescent="0.2">
      <c r="B3" s="19" t="s">
        <v>3</v>
      </c>
      <c r="C3" s="3" t="s">
        <v>4</v>
      </c>
      <c r="D3" s="3" t="s">
        <v>5</v>
      </c>
      <c r="E3" s="3" t="s">
        <v>6</v>
      </c>
      <c r="F3" s="12" t="s">
        <v>7</v>
      </c>
      <c r="G3" s="3" t="s">
        <v>3</v>
      </c>
      <c r="H3" s="3" t="s">
        <v>4</v>
      </c>
      <c r="I3" s="3" t="s">
        <v>5</v>
      </c>
      <c r="J3" s="3" t="s">
        <v>6</v>
      </c>
      <c r="K3" s="12" t="s">
        <v>7</v>
      </c>
      <c r="L3" s="3" t="s">
        <v>3</v>
      </c>
      <c r="M3" s="3" t="s">
        <v>4</v>
      </c>
      <c r="N3" s="3" t="s">
        <v>5</v>
      </c>
      <c r="O3" s="3" t="s">
        <v>6</v>
      </c>
      <c r="P3" s="12" t="s">
        <v>7</v>
      </c>
    </row>
    <row r="4" spans="2:16" x14ac:dyDescent="0.2">
      <c r="B4" s="105">
        <v>8</v>
      </c>
      <c r="C4" s="1">
        <v>13</v>
      </c>
      <c r="D4" s="1">
        <v>71.77</v>
      </c>
      <c r="E4" s="1">
        <v>71.95</v>
      </c>
      <c r="F4" s="8">
        <v>72.790000000000006</v>
      </c>
      <c r="G4" s="109">
        <v>8</v>
      </c>
      <c r="H4" s="1">
        <v>13</v>
      </c>
      <c r="I4" s="1">
        <v>70.77</v>
      </c>
      <c r="J4" s="1">
        <v>71.040000000000006</v>
      </c>
      <c r="K4" s="8">
        <v>71.569999999999993</v>
      </c>
      <c r="L4" s="109">
        <v>8</v>
      </c>
      <c r="M4" s="1">
        <v>13</v>
      </c>
      <c r="N4" s="1">
        <v>70.849999999999994</v>
      </c>
      <c r="O4" s="4">
        <v>71</v>
      </c>
      <c r="P4" s="8">
        <v>71.510000000000005</v>
      </c>
    </row>
    <row r="5" spans="2:16" x14ac:dyDescent="0.2">
      <c r="B5" s="105"/>
      <c r="C5" s="1">
        <v>21</v>
      </c>
      <c r="D5" s="4">
        <v>72</v>
      </c>
      <c r="E5" s="4">
        <v>72.12</v>
      </c>
      <c r="F5" s="9">
        <v>73.97</v>
      </c>
      <c r="G5" s="109"/>
      <c r="H5" s="1">
        <v>21</v>
      </c>
      <c r="I5" s="4">
        <v>69.41</v>
      </c>
      <c r="J5" s="4">
        <v>69.930000000000007</v>
      </c>
      <c r="K5" s="9">
        <v>70.36</v>
      </c>
      <c r="L5" s="109"/>
      <c r="M5" s="1">
        <v>21</v>
      </c>
      <c r="N5" s="4">
        <v>72.17</v>
      </c>
      <c r="O5" s="4">
        <v>72.42</v>
      </c>
      <c r="P5" s="9">
        <v>74.06</v>
      </c>
    </row>
    <row r="6" spans="2:16" x14ac:dyDescent="0.2">
      <c r="B6" s="105"/>
      <c r="C6" s="1">
        <v>47</v>
      </c>
      <c r="D6" s="4">
        <v>71.55</v>
      </c>
      <c r="E6" s="4">
        <v>71.36</v>
      </c>
      <c r="F6" s="9">
        <v>72.98</v>
      </c>
      <c r="G6" s="109"/>
      <c r="H6" s="1">
        <v>47</v>
      </c>
      <c r="I6" s="4">
        <v>71.790000000000006</v>
      </c>
      <c r="J6" s="4">
        <v>72.09</v>
      </c>
      <c r="K6" s="9">
        <v>72.89</v>
      </c>
      <c r="L6" s="109"/>
      <c r="M6" s="1">
        <v>47</v>
      </c>
      <c r="N6" s="4">
        <v>70.63</v>
      </c>
      <c r="O6" s="4">
        <v>70.25</v>
      </c>
      <c r="P6" s="9">
        <v>70.81</v>
      </c>
    </row>
    <row r="7" spans="2:16" x14ac:dyDescent="0.2">
      <c r="B7" s="105"/>
      <c r="C7" s="1">
        <v>50</v>
      </c>
      <c r="D7" s="4">
        <v>70.59</v>
      </c>
      <c r="E7" s="4">
        <v>70.86</v>
      </c>
      <c r="F7" s="9">
        <v>72.319999999999993</v>
      </c>
      <c r="G7" s="109"/>
      <c r="H7" s="1">
        <v>50</v>
      </c>
      <c r="I7" s="4">
        <v>71.739999999999995</v>
      </c>
      <c r="J7" s="4">
        <v>71.66</v>
      </c>
      <c r="K7" s="9">
        <v>73.94</v>
      </c>
      <c r="L7" s="109"/>
      <c r="M7" s="1">
        <v>50</v>
      </c>
      <c r="N7" s="4">
        <v>71.489999999999995</v>
      </c>
      <c r="O7" s="4">
        <v>71.25</v>
      </c>
      <c r="P7" s="9">
        <v>73.84</v>
      </c>
    </row>
    <row r="8" spans="2:16" x14ac:dyDescent="0.2">
      <c r="B8" s="105"/>
      <c r="C8" s="2">
        <v>91</v>
      </c>
      <c r="D8" s="5">
        <v>70.14</v>
      </c>
      <c r="E8" s="5">
        <v>70.23</v>
      </c>
      <c r="F8" s="10">
        <v>73.06</v>
      </c>
      <c r="G8" s="109"/>
      <c r="H8" s="2">
        <v>91</v>
      </c>
      <c r="I8" s="5">
        <v>69.709999999999994</v>
      </c>
      <c r="J8" s="5">
        <v>69.83</v>
      </c>
      <c r="K8" s="10">
        <v>72.709999999999994</v>
      </c>
      <c r="L8" s="109"/>
      <c r="M8" s="2">
        <v>91</v>
      </c>
      <c r="N8" s="5">
        <v>70.7</v>
      </c>
      <c r="O8" s="5">
        <v>70.73</v>
      </c>
      <c r="P8" s="10">
        <v>71.790000000000006</v>
      </c>
    </row>
    <row r="9" spans="2:16" x14ac:dyDescent="0.2">
      <c r="B9" s="106"/>
      <c r="C9" s="6" t="s">
        <v>8</v>
      </c>
      <c r="D9" s="7">
        <f>AVERAGE(D4:D8)</f>
        <v>71.209999999999994</v>
      </c>
      <c r="E9" s="7">
        <f t="shared" ref="E9" si="0">AVERAGE(E4:E8)</f>
        <v>71.304000000000002</v>
      </c>
      <c r="F9" s="11">
        <f>AVERAGE(F4:F8)</f>
        <v>73.024000000000001</v>
      </c>
      <c r="G9" s="110"/>
      <c r="H9" s="6" t="s">
        <v>8</v>
      </c>
      <c r="I9" s="7">
        <f>AVERAGE(I4:I8)</f>
        <v>70.683999999999997</v>
      </c>
      <c r="J9" s="7">
        <f t="shared" ref="J9:K9" si="1">AVERAGE(J4:J8)</f>
        <v>70.91</v>
      </c>
      <c r="K9" s="11">
        <f t="shared" si="1"/>
        <v>72.293999999999997</v>
      </c>
      <c r="L9" s="110"/>
      <c r="M9" s="6" t="s">
        <v>8</v>
      </c>
      <c r="N9" s="7">
        <f>AVERAGE(N4:N8)</f>
        <v>71.167999999999992</v>
      </c>
      <c r="O9" s="7">
        <f t="shared" ref="O9:P9" si="2">AVERAGE(O4:O8)</f>
        <v>71.13000000000001</v>
      </c>
      <c r="P9" s="11">
        <f t="shared" si="2"/>
        <v>72.402000000000015</v>
      </c>
    </row>
    <row r="10" spans="2:16" x14ac:dyDescent="0.2">
      <c r="B10" s="105">
        <v>16</v>
      </c>
      <c r="C10" s="1">
        <v>13</v>
      </c>
      <c r="D10" s="4">
        <v>74.16</v>
      </c>
      <c r="E10" s="4">
        <v>74.47</v>
      </c>
      <c r="F10" s="9">
        <v>75.83</v>
      </c>
      <c r="G10" s="109">
        <v>16</v>
      </c>
      <c r="H10" s="1">
        <v>13</v>
      </c>
      <c r="I10" s="4">
        <v>76.790000000000006</v>
      </c>
      <c r="J10" s="4">
        <v>78.040000000000006</v>
      </c>
      <c r="K10" s="9">
        <v>78.14</v>
      </c>
      <c r="L10" s="109">
        <v>16</v>
      </c>
      <c r="M10" s="1">
        <v>13</v>
      </c>
      <c r="N10" s="4">
        <v>82.68</v>
      </c>
      <c r="O10" s="4">
        <v>82.11</v>
      </c>
      <c r="P10" s="9">
        <v>82.36</v>
      </c>
    </row>
    <row r="11" spans="2:16" x14ac:dyDescent="0.2">
      <c r="B11" s="105"/>
      <c r="C11" s="1">
        <v>21</v>
      </c>
      <c r="D11" s="4">
        <v>74.48</v>
      </c>
      <c r="E11" s="4">
        <v>74.98</v>
      </c>
      <c r="F11" s="9">
        <v>75.180000000000007</v>
      </c>
      <c r="G11" s="109"/>
      <c r="H11" s="1">
        <v>21</v>
      </c>
      <c r="I11" s="4">
        <v>76.400000000000006</v>
      </c>
      <c r="J11" s="4">
        <v>77.02</v>
      </c>
      <c r="K11" s="9">
        <v>77.19</v>
      </c>
      <c r="L11" s="109"/>
      <c r="M11" s="1">
        <v>21</v>
      </c>
      <c r="N11" s="4">
        <v>81.75</v>
      </c>
      <c r="O11" s="4">
        <v>81.09</v>
      </c>
      <c r="P11" s="9">
        <v>80.900000000000006</v>
      </c>
    </row>
    <row r="12" spans="2:16" x14ac:dyDescent="0.2">
      <c r="B12" s="105"/>
      <c r="C12" s="1">
        <v>47</v>
      </c>
      <c r="D12" s="4">
        <v>74.67</v>
      </c>
      <c r="E12" s="4">
        <v>75.02</v>
      </c>
      <c r="F12" s="9">
        <v>75.09</v>
      </c>
      <c r="G12" s="109"/>
      <c r="H12" s="1">
        <v>47</v>
      </c>
      <c r="I12" s="4">
        <v>77.040000000000006</v>
      </c>
      <c r="J12" s="4">
        <v>78</v>
      </c>
      <c r="K12" s="9">
        <v>78.290000000000006</v>
      </c>
      <c r="L12" s="109"/>
      <c r="M12" s="1">
        <v>47</v>
      </c>
      <c r="N12" s="4">
        <v>79.61</v>
      </c>
      <c r="O12" s="4">
        <v>79.22</v>
      </c>
      <c r="P12" s="9">
        <v>80.44</v>
      </c>
    </row>
    <row r="13" spans="2:16" x14ac:dyDescent="0.2">
      <c r="B13" s="105"/>
      <c r="C13" s="1">
        <v>50</v>
      </c>
      <c r="D13" s="4">
        <v>74.03</v>
      </c>
      <c r="E13" s="4">
        <v>73.94</v>
      </c>
      <c r="F13" s="9">
        <v>75.53</v>
      </c>
      <c r="G13" s="109"/>
      <c r="H13" s="1">
        <v>50</v>
      </c>
      <c r="I13" s="4">
        <v>76.59</v>
      </c>
      <c r="J13" s="4">
        <v>77.48</v>
      </c>
      <c r="K13" s="9">
        <v>77.91</v>
      </c>
      <c r="L13" s="109"/>
      <c r="M13" s="1">
        <v>50</v>
      </c>
      <c r="N13" s="4">
        <v>82.14</v>
      </c>
      <c r="O13" s="4">
        <v>81.56</v>
      </c>
      <c r="P13" s="9">
        <v>81.19</v>
      </c>
    </row>
    <row r="14" spans="2:16" x14ac:dyDescent="0.2">
      <c r="B14" s="105"/>
      <c r="C14" s="2">
        <v>91</v>
      </c>
      <c r="D14" s="5">
        <v>72.84</v>
      </c>
      <c r="E14" s="5">
        <v>73.17</v>
      </c>
      <c r="F14" s="10">
        <v>73.760000000000005</v>
      </c>
      <c r="G14" s="109"/>
      <c r="H14" s="2">
        <v>91</v>
      </c>
      <c r="I14" s="5">
        <v>77.92</v>
      </c>
      <c r="J14" s="5">
        <v>78.61</v>
      </c>
      <c r="K14" s="10">
        <v>78.989999999999995</v>
      </c>
      <c r="L14" s="109"/>
      <c r="M14" s="2">
        <v>91</v>
      </c>
      <c r="N14" s="5">
        <v>83.45</v>
      </c>
      <c r="O14" s="5">
        <v>83.55</v>
      </c>
      <c r="P14" s="10">
        <v>83.27</v>
      </c>
    </row>
    <row r="15" spans="2:16" x14ac:dyDescent="0.2">
      <c r="B15" s="106"/>
      <c r="C15" s="6" t="s">
        <v>8</v>
      </c>
      <c r="D15" s="7">
        <f>AVERAGE(D10:D14)</f>
        <v>74.036000000000016</v>
      </c>
      <c r="E15" s="7">
        <f t="shared" ref="E15:F15" si="3">AVERAGE(E10:E14)</f>
        <v>74.316000000000003</v>
      </c>
      <c r="F15" s="11">
        <f t="shared" si="3"/>
        <v>75.078000000000003</v>
      </c>
      <c r="G15" s="110"/>
      <c r="H15" s="6" t="s">
        <v>8</v>
      </c>
      <c r="I15" s="7">
        <f>AVERAGE(I10:I14)</f>
        <v>76.948000000000008</v>
      </c>
      <c r="J15" s="7">
        <f t="shared" ref="J15:K15" si="4">AVERAGE(J10:J14)</f>
        <v>77.830000000000013</v>
      </c>
      <c r="K15" s="11">
        <f t="shared" si="4"/>
        <v>78.103999999999999</v>
      </c>
      <c r="L15" s="110"/>
      <c r="M15" s="6" t="s">
        <v>8</v>
      </c>
      <c r="N15" s="7">
        <f>AVERAGE(N10:N14)</f>
        <v>81.926000000000002</v>
      </c>
      <c r="O15" s="7">
        <f t="shared" ref="O15:P15" si="5">AVERAGE(O10:O14)</f>
        <v>81.506</v>
      </c>
      <c r="P15" s="11">
        <f t="shared" si="5"/>
        <v>81.631999999999991</v>
      </c>
    </row>
    <row r="16" spans="2:16" x14ac:dyDescent="0.2">
      <c r="B16" s="105">
        <v>32</v>
      </c>
      <c r="C16" s="1">
        <v>13</v>
      </c>
      <c r="D16" s="4">
        <v>77.02</v>
      </c>
      <c r="E16" s="4">
        <v>77.44</v>
      </c>
      <c r="F16" s="9">
        <v>78.23</v>
      </c>
      <c r="G16" s="109">
        <v>32</v>
      </c>
      <c r="H16" s="1">
        <v>13</v>
      </c>
      <c r="I16" s="4">
        <v>81.41</v>
      </c>
      <c r="J16" s="4">
        <v>81.489999999999995</v>
      </c>
      <c r="K16" s="9">
        <v>81.37</v>
      </c>
      <c r="L16" s="109">
        <v>32</v>
      </c>
      <c r="M16" s="1">
        <v>13</v>
      </c>
      <c r="N16" s="4">
        <v>89.94</v>
      </c>
      <c r="O16" s="4">
        <v>88.89</v>
      </c>
      <c r="P16" s="9">
        <v>88.52</v>
      </c>
    </row>
    <row r="17" spans="2:16" x14ac:dyDescent="0.2">
      <c r="B17" s="105"/>
      <c r="C17" s="1">
        <v>21</v>
      </c>
      <c r="D17" s="4">
        <v>76.739999999999995</v>
      </c>
      <c r="E17" s="4">
        <v>77.180000000000007</v>
      </c>
      <c r="F17" s="9">
        <v>78.45</v>
      </c>
      <c r="G17" s="109"/>
      <c r="H17" s="1">
        <v>21</v>
      </c>
      <c r="I17" s="4">
        <v>82.2</v>
      </c>
      <c r="J17" s="4">
        <v>82.62</v>
      </c>
      <c r="K17" s="9">
        <v>83.31</v>
      </c>
      <c r="L17" s="109"/>
      <c r="M17" s="1">
        <v>21</v>
      </c>
      <c r="N17" s="4">
        <v>88.72</v>
      </c>
      <c r="O17" s="4">
        <v>88.72</v>
      </c>
      <c r="P17" s="9">
        <v>88.24</v>
      </c>
    </row>
    <row r="18" spans="2:16" x14ac:dyDescent="0.2">
      <c r="B18" s="105"/>
      <c r="C18" s="1">
        <v>47</v>
      </c>
      <c r="D18" s="4">
        <v>77.05</v>
      </c>
      <c r="E18" s="4">
        <v>77.709999999999994</v>
      </c>
      <c r="F18" s="9">
        <v>78.099999999999994</v>
      </c>
      <c r="G18" s="109"/>
      <c r="H18" s="1">
        <v>47</v>
      </c>
      <c r="I18" s="4">
        <v>83.5</v>
      </c>
      <c r="J18" s="4">
        <v>83.43</v>
      </c>
      <c r="K18" s="9">
        <v>83.54</v>
      </c>
      <c r="L18" s="109"/>
      <c r="M18" s="1">
        <v>47</v>
      </c>
      <c r="N18" s="4">
        <v>89.6</v>
      </c>
      <c r="O18" s="4">
        <v>89.58</v>
      </c>
      <c r="P18" s="9">
        <v>89.48</v>
      </c>
    </row>
    <row r="19" spans="2:16" x14ac:dyDescent="0.2">
      <c r="B19" s="105"/>
      <c r="C19" s="1">
        <v>50</v>
      </c>
      <c r="D19" s="4">
        <v>76.61</v>
      </c>
      <c r="E19" s="4">
        <v>77.180000000000007</v>
      </c>
      <c r="F19" s="9">
        <v>78.41</v>
      </c>
      <c r="G19" s="109"/>
      <c r="H19" s="1">
        <v>50</v>
      </c>
      <c r="I19" s="4">
        <v>82.33</v>
      </c>
      <c r="J19" s="4">
        <v>82.84</v>
      </c>
      <c r="K19" s="9">
        <v>82.62</v>
      </c>
      <c r="L19" s="109"/>
      <c r="M19" s="1">
        <v>50</v>
      </c>
      <c r="N19" s="4">
        <v>88.97</v>
      </c>
      <c r="O19" s="4">
        <v>88.51</v>
      </c>
      <c r="P19" s="9">
        <v>88.19</v>
      </c>
    </row>
    <row r="20" spans="2:16" x14ac:dyDescent="0.2">
      <c r="B20" s="105"/>
      <c r="C20" s="2">
        <v>91</v>
      </c>
      <c r="D20" s="5">
        <v>76.92</v>
      </c>
      <c r="E20" s="5">
        <v>77.650000000000006</v>
      </c>
      <c r="F20" s="10">
        <v>78.5</v>
      </c>
      <c r="G20" s="109"/>
      <c r="H20" s="2">
        <v>91</v>
      </c>
      <c r="I20" s="5">
        <v>81.430000000000007</v>
      </c>
      <c r="J20" s="5">
        <v>81.83</v>
      </c>
      <c r="K20" s="10">
        <v>82.46</v>
      </c>
      <c r="L20" s="109"/>
      <c r="M20" s="2">
        <v>91</v>
      </c>
      <c r="N20" s="5">
        <v>88.8</v>
      </c>
      <c r="O20" s="5">
        <v>88.12</v>
      </c>
      <c r="P20" s="10">
        <v>87.77</v>
      </c>
    </row>
    <row r="21" spans="2:16" x14ac:dyDescent="0.2">
      <c r="B21" s="106"/>
      <c r="C21" s="6" t="s">
        <v>8</v>
      </c>
      <c r="D21" s="7">
        <f>AVERAGE(D16:D20)</f>
        <v>76.868000000000009</v>
      </c>
      <c r="E21" s="7">
        <f t="shared" ref="E21:F21" si="6">AVERAGE(E16:E20)</f>
        <v>77.431999999999988</v>
      </c>
      <c r="F21" s="11">
        <f t="shared" si="6"/>
        <v>78.337999999999994</v>
      </c>
      <c r="G21" s="110"/>
      <c r="H21" s="6" t="s">
        <v>8</v>
      </c>
      <c r="I21" s="7">
        <f>AVERAGE(I16:I20)</f>
        <v>82.174000000000007</v>
      </c>
      <c r="J21" s="7">
        <f t="shared" ref="J21:K21" si="7">AVERAGE(J16:J20)</f>
        <v>82.441999999999993</v>
      </c>
      <c r="K21" s="11">
        <f t="shared" si="7"/>
        <v>82.66</v>
      </c>
      <c r="L21" s="110"/>
      <c r="M21" s="6" t="s">
        <v>8</v>
      </c>
      <c r="N21" s="7">
        <f>AVERAGE(N16:N20)</f>
        <v>89.206000000000003</v>
      </c>
      <c r="O21" s="7">
        <f t="shared" ref="O21:P21" si="8">AVERAGE(O16:O20)</f>
        <v>88.763999999999996</v>
      </c>
      <c r="P21" s="11">
        <f t="shared" si="8"/>
        <v>88.44</v>
      </c>
    </row>
    <row r="22" spans="2:16" x14ac:dyDescent="0.2">
      <c r="B22" s="105">
        <v>64</v>
      </c>
      <c r="C22" s="1">
        <v>13</v>
      </c>
      <c r="D22" s="4">
        <v>77.78</v>
      </c>
      <c r="E22" s="4">
        <v>78.73</v>
      </c>
      <c r="F22" s="9">
        <v>78.37</v>
      </c>
      <c r="G22" s="109">
        <v>64</v>
      </c>
      <c r="H22" s="1">
        <v>13</v>
      </c>
      <c r="I22" s="4">
        <v>81.47</v>
      </c>
      <c r="J22" s="4">
        <v>81.569999999999993</v>
      </c>
      <c r="K22" s="9">
        <v>81.69</v>
      </c>
      <c r="L22" s="109">
        <v>64</v>
      </c>
      <c r="M22" s="1">
        <v>13</v>
      </c>
      <c r="N22" s="112" t="s">
        <v>9</v>
      </c>
      <c r="O22" s="113"/>
      <c r="P22" s="114"/>
    </row>
    <row r="23" spans="2:16" x14ac:dyDescent="0.2">
      <c r="B23" s="105"/>
      <c r="C23" s="1">
        <v>21</v>
      </c>
      <c r="D23" s="4">
        <v>77.64</v>
      </c>
      <c r="E23" s="4">
        <v>78.430000000000007</v>
      </c>
      <c r="F23" s="9">
        <v>79.19</v>
      </c>
      <c r="G23" s="109"/>
      <c r="H23" s="1">
        <v>21</v>
      </c>
      <c r="I23" s="4">
        <v>86.84</v>
      </c>
      <c r="J23" s="4">
        <v>86.51</v>
      </c>
      <c r="K23" s="9">
        <v>86.65</v>
      </c>
      <c r="L23" s="109"/>
      <c r="M23" s="1">
        <v>21</v>
      </c>
      <c r="N23" s="115"/>
      <c r="O23" s="115"/>
      <c r="P23" s="116"/>
    </row>
    <row r="24" spans="2:16" x14ac:dyDescent="0.2">
      <c r="B24" s="105"/>
      <c r="C24" s="1">
        <v>47</v>
      </c>
      <c r="D24" s="4">
        <v>78.03</v>
      </c>
      <c r="E24" s="4">
        <v>78.84</v>
      </c>
      <c r="F24" s="9">
        <v>79.099999999999994</v>
      </c>
      <c r="G24" s="109"/>
      <c r="H24" s="1">
        <v>47</v>
      </c>
      <c r="I24" s="4">
        <v>83.95</v>
      </c>
      <c r="J24" s="4">
        <v>84.27</v>
      </c>
      <c r="K24" s="9">
        <v>83.58</v>
      </c>
      <c r="L24" s="109"/>
      <c r="M24" s="1">
        <v>47</v>
      </c>
      <c r="N24" s="115"/>
      <c r="O24" s="115"/>
      <c r="P24" s="116"/>
    </row>
    <row r="25" spans="2:16" x14ac:dyDescent="0.2">
      <c r="B25" s="105"/>
      <c r="C25" s="1">
        <v>50</v>
      </c>
      <c r="D25" s="4">
        <v>77.42</v>
      </c>
      <c r="E25" s="4">
        <v>77.959999999999994</v>
      </c>
      <c r="F25" s="9">
        <v>78.680000000000007</v>
      </c>
      <c r="G25" s="109"/>
      <c r="H25" s="1">
        <v>50</v>
      </c>
      <c r="I25" s="4">
        <v>81.87</v>
      </c>
      <c r="J25" s="4">
        <v>82.93</v>
      </c>
      <c r="K25" s="9">
        <v>81.13</v>
      </c>
      <c r="L25" s="109"/>
      <c r="M25" s="1">
        <v>50</v>
      </c>
      <c r="N25" s="115"/>
      <c r="O25" s="115"/>
      <c r="P25" s="116"/>
    </row>
    <row r="26" spans="2:16" x14ac:dyDescent="0.2">
      <c r="B26" s="105"/>
      <c r="C26" s="2">
        <v>91</v>
      </c>
      <c r="D26" s="5">
        <v>77.98</v>
      </c>
      <c r="E26" s="5">
        <v>78.61</v>
      </c>
      <c r="F26" s="10">
        <v>79.010000000000005</v>
      </c>
      <c r="G26" s="109"/>
      <c r="H26" s="2">
        <v>91</v>
      </c>
      <c r="I26" s="5">
        <v>83.89</v>
      </c>
      <c r="J26" s="5">
        <v>83</v>
      </c>
      <c r="K26" s="10">
        <v>82.56</v>
      </c>
      <c r="L26" s="109"/>
      <c r="M26" s="2">
        <v>91</v>
      </c>
      <c r="N26" s="117"/>
      <c r="O26" s="117"/>
      <c r="P26" s="118"/>
    </row>
    <row r="27" spans="2:16" x14ac:dyDescent="0.2">
      <c r="B27" s="106"/>
      <c r="C27" s="6" t="s">
        <v>8</v>
      </c>
      <c r="D27" s="7">
        <f>AVERAGE(D22:D26)</f>
        <v>77.77000000000001</v>
      </c>
      <c r="E27" s="7">
        <f t="shared" ref="E27:F27" si="9">AVERAGE(E22:E26)</f>
        <v>78.51400000000001</v>
      </c>
      <c r="F27" s="11">
        <f t="shared" si="9"/>
        <v>78.87</v>
      </c>
      <c r="G27" s="110"/>
      <c r="H27" s="6" t="s">
        <v>8</v>
      </c>
      <c r="I27" s="7">
        <f>AVERAGE(I22:I26)</f>
        <v>83.603999999999999</v>
      </c>
      <c r="J27" s="7">
        <f t="shared" ref="J27:K27" si="10">AVERAGE(J22:J26)</f>
        <v>83.655999999999992</v>
      </c>
      <c r="K27" s="11">
        <f t="shared" si="10"/>
        <v>83.122</v>
      </c>
      <c r="L27" s="110"/>
      <c r="M27" s="6" t="s">
        <v>8</v>
      </c>
      <c r="N27" s="7" t="e">
        <f>AVERAGE(N22:N26)</f>
        <v>#DIV/0!</v>
      </c>
      <c r="O27" s="7" t="e">
        <f t="shared" ref="O27:P27" si="11">AVERAGE(O22:O26)</f>
        <v>#DIV/0!</v>
      </c>
      <c r="P27" s="11" t="e">
        <f t="shared" si="11"/>
        <v>#DIV/0!</v>
      </c>
    </row>
    <row r="28" spans="2:16" x14ac:dyDescent="0.2">
      <c r="B28" s="1"/>
      <c r="C28" s="1"/>
      <c r="D28" s="1"/>
      <c r="E28" s="4">
        <f>E27-E9</f>
        <v>7.210000000000008</v>
      </c>
      <c r="F28" s="4">
        <f>F27-F9</f>
        <v>5.8460000000000036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2">
      <c r="B30" s="1"/>
      <c r="C30" s="1"/>
      <c r="D30" s="15" t="s">
        <v>3</v>
      </c>
      <c r="E30" s="14" t="s">
        <v>10</v>
      </c>
      <c r="F30" s="14" t="s">
        <v>11</v>
      </c>
      <c r="G30" s="13" t="s">
        <v>12</v>
      </c>
      <c r="H30" s="13" t="s">
        <v>13</v>
      </c>
      <c r="I30" s="1"/>
      <c r="J30" s="1"/>
      <c r="K30" s="1"/>
      <c r="L30" s="1"/>
      <c r="M30" s="1"/>
      <c r="N30" s="1"/>
      <c r="O30" s="1"/>
      <c r="P30" s="1"/>
    </row>
    <row r="31" spans="2:16" x14ac:dyDescent="0.2">
      <c r="B31" s="1"/>
      <c r="C31" s="1"/>
      <c r="D31" s="16">
        <v>8</v>
      </c>
      <c r="E31" s="1">
        <f>D31*(D31-1)/2</f>
        <v>28</v>
      </c>
      <c r="F31" s="1">
        <f>E31*2</f>
        <v>56</v>
      </c>
      <c r="G31" s="8">
        <f>E31*3</f>
        <v>84</v>
      </c>
      <c r="H31" s="8"/>
      <c r="I31" s="1"/>
      <c r="J31" s="1"/>
      <c r="K31" s="1"/>
      <c r="L31" s="1"/>
      <c r="M31" s="1"/>
      <c r="N31" s="1"/>
      <c r="O31" s="1"/>
      <c r="P31" s="1"/>
    </row>
    <row r="32" spans="2:16" x14ac:dyDescent="0.2">
      <c r="B32" s="1"/>
      <c r="C32" s="1"/>
      <c r="D32" s="16">
        <v>16</v>
      </c>
      <c r="E32" s="1">
        <f t="shared" ref="E32:E34" si="12">D32*(D32-1)/2</f>
        <v>120</v>
      </c>
      <c r="F32" s="1">
        <f t="shared" ref="F32:F34" si="13">E32*2</f>
        <v>240</v>
      </c>
      <c r="G32" s="8">
        <f t="shared" ref="G32:G34" si="14">E32*3</f>
        <v>360</v>
      </c>
      <c r="H32" s="8"/>
      <c r="I32" s="18"/>
      <c r="J32" s="1"/>
      <c r="K32" s="1"/>
      <c r="L32" s="1"/>
      <c r="M32" s="1"/>
      <c r="N32" s="1"/>
      <c r="O32" s="1"/>
      <c r="P32" s="1"/>
    </row>
    <row r="33" spans="2:16" x14ac:dyDescent="0.2">
      <c r="B33" s="1"/>
      <c r="C33" s="1"/>
      <c r="D33" s="16">
        <v>32</v>
      </c>
      <c r="E33" s="1">
        <f t="shared" si="12"/>
        <v>496</v>
      </c>
      <c r="F33" s="1">
        <f t="shared" si="13"/>
        <v>992</v>
      </c>
      <c r="G33" s="8">
        <f t="shared" si="14"/>
        <v>1488</v>
      </c>
      <c r="H33" s="8"/>
      <c r="I33" s="1"/>
      <c r="J33" s="1"/>
      <c r="K33" s="1"/>
      <c r="L33" s="1"/>
      <c r="M33" s="1"/>
      <c r="N33" s="1"/>
      <c r="O33" s="1"/>
      <c r="P33" s="1"/>
    </row>
    <row r="34" spans="2:16" x14ac:dyDescent="0.2">
      <c r="B34" s="1"/>
      <c r="C34" s="1"/>
      <c r="D34" s="17">
        <v>64</v>
      </c>
      <c r="E34" s="3">
        <f t="shared" si="12"/>
        <v>2016</v>
      </c>
      <c r="F34" s="3">
        <f t="shared" si="13"/>
        <v>4032</v>
      </c>
      <c r="G34" s="12">
        <f t="shared" si="14"/>
        <v>6048</v>
      </c>
      <c r="H34" s="12"/>
      <c r="I34" s="1"/>
      <c r="J34" s="1"/>
      <c r="K34" s="1"/>
      <c r="L34" s="1"/>
      <c r="M34" s="1"/>
      <c r="N34" s="1"/>
      <c r="O34" s="1"/>
      <c r="P34" s="1"/>
    </row>
    <row r="38" spans="2:16" x14ac:dyDescent="0.2">
      <c r="B38" s="107" t="s">
        <v>15</v>
      </c>
      <c r="C38" s="108"/>
      <c r="D38" s="108"/>
      <c r="E38" s="108"/>
      <c r="F38" s="111"/>
      <c r="G38" s="108" t="s">
        <v>16</v>
      </c>
      <c r="H38" s="108"/>
      <c r="I38" s="108"/>
      <c r="J38" s="108"/>
      <c r="K38" s="111"/>
      <c r="L38" s="108" t="s">
        <v>17</v>
      </c>
      <c r="M38" s="108"/>
      <c r="N38" s="108"/>
      <c r="O38" s="108"/>
      <c r="P38" s="111"/>
    </row>
    <row r="39" spans="2:16" x14ac:dyDescent="0.2">
      <c r="B39" s="19" t="s">
        <v>3</v>
      </c>
      <c r="C39" s="3" t="s">
        <v>4</v>
      </c>
      <c r="D39" s="3" t="s">
        <v>5</v>
      </c>
      <c r="E39" s="3" t="s">
        <v>6</v>
      </c>
      <c r="F39" s="12" t="s">
        <v>7</v>
      </c>
      <c r="G39" s="3" t="s">
        <v>3</v>
      </c>
      <c r="H39" s="3" t="s">
        <v>4</v>
      </c>
      <c r="I39" s="3" t="s">
        <v>5</v>
      </c>
      <c r="J39" s="3" t="s">
        <v>6</v>
      </c>
      <c r="K39" s="12" t="s">
        <v>7</v>
      </c>
      <c r="L39" s="3" t="s">
        <v>3</v>
      </c>
      <c r="M39" s="3" t="s">
        <v>4</v>
      </c>
      <c r="N39" s="3" t="s">
        <v>5</v>
      </c>
      <c r="O39" s="3" t="s">
        <v>6</v>
      </c>
      <c r="P39" s="12" t="s">
        <v>7</v>
      </c>
    </row>
    <row r="40" spans="2:16" x14ac:dyDescent="0.2">
      <c r="B40" s="105">
        <v>8</v>
      </c>
      <c r="C40" s="1">
        <v>13</v>
      </c>
      <c r="D40" s="1">
        <v>72.06</v>
      </c>
      <c r="E40" s="1">
        <v>71.84</v>
      </c>
      <c r="F40" s="8">
        <v>70.31</v>
      </c>
      <c r="G40" s="109">
        <v>8</v>
      </c>
      <c r="H40" s="1">
        <v>13</v>
      </c>
      <c r="I40" s="1">
        <v>73.39</v>
      </c>
      <c r="J40" s="1">
        <v>73.31</v>
      </c>
      <c r="K40" s="8">
        <v>71.209999999999994</v>
      </c>
      <c r="L40" s="109">
        <v>8</v>
      </c>
      <c r="M40" s="1">
        <v>13</v>
      </c>
      <c r="N40" s="1">
        <v>75.45</v>
      </c>
      <c r="O40" s="1">
        <v>75.040000000000006</v>
      </c>
      <c r="P40" s="8">
        <v>73.88</v>
      </c>
    </row>
    <row r="41" spans="2:16" x14ac:dyDescent="0.2">
      <c r="B41" s="105"/>
      <c r="C41" s="1">
        <v>21</v>
      </c>
      <c r="D41" s="4">
        <v>71.84</v>
      </c>
      <c r="E41" s="4">
        <v>71.59</v>
      </c>
      <c r="F41" s="9">
        <v>70.099999999999994</v>
      </c>
      <c r="G41" s="109"/>
      <c r="H41" s="1">
        <v>21</v>
      </c>
      <c r="I41" s="4">
        <v>75.510000000000005</v>
      </c>
      <c r="J41" s="4">
        <v>75.38</v>
      </c>
      <c r="K41" s="9">
        <v>74.959999999999994</v>
      </c>
      <c r="L41" s="109"/>
      <c r="M41" s="1">
        <v>21</v>
      </c>
      <c r="N41" s="4">
        <v>77.099999999999994</v>
      </c>
      <c r="O41" s="4">
        <v>77.180000000000007</v>
      </c>
      <c r="P41" s="9">
        <v>76.489999999999995</v>
      </c>
    </row>
    <row r="42" spans="2:16" x14ac:dyDescent="0.2">
      <c r="B42" s="105"/>
      <c r="C42" s="1">
        <v>47</v>
      </c>
      <c r="D42" s="4">
        <v>71.34</v>
      </c>
      <c r="E42" s="4">
        <v>71.290000000000006</v>
      </c>
      <c r="F42" s="9">
        <v>69.34</v>
      </c>
      <c r="G42" s="109"/>
      <c r="H42" s="1">
        <v>47</v>
      </c>
      <c r="I42" s="4">
        <v>74.290000000000006</v>
      </c>
      <c r="J42" s="4">
        <v>74.11</v>
      </c>
      <c r="K42" s="9">
        <v>72.760000000000005</v>
      </c>
      <c r="L42" s="109"/>
      <c r="M42" s="1">
        <v>47</v>
      </c>
      <c r="N42" s="4">
        <v>76.95</v>
      </c>
      <c r="O42" s="4">
        <v>76.95</v>
      </c>
      <c r="P42" s="9">
        <v>75.87</v>
      </c>
    </row>
    <row r="43" spans="2:16" x14ac:dyDescent="0.2">
      <c r="B43" s="105"/>
      <c r="C43" s="1">
        <v>50</v>
      </c>
      <c r="D43" s="4">
        <v>72.84</v>
      </c>
      <c r="E43" s="4">
        <v>72.64</v>
      </c>
      <c r="F43" s="9">
        <v>70.900000000000006</v>
      </c>
      <c r="G43" s="109"/>
      <c r="H43" s="1">
        <v>50</v>
      </c>
      <c r="I43" s="4">
        <v>73.55</v>
      </c>
      <c r="J43" s="4">
        <v>73.260000000000005</v>
      </c>
      <c r="K43" s="9">
        <v>71.400000000000006</v>
      </c>
      <c r="L43" s="109"/>
      <c r="M43" s="1">
        <v>50</v>
      </c>
      <c r="N43" s="4">
        <v>74.64</v>
      </c>
      <c r="O43" s="4">
        <v>74.2</v>
      </c>
      <c r="P43" s="9">
        <v>72.55</v>
      </c>
    </row>
    <row r="44" spans="2:16" x14ac:dyDescent="0.2">
      <c r="B44" s="105"/>
      <c r="C44" s="2">
        <v>91</v>
      </c>
      <c r="D44" s="5">
        <v>72.23</v>
      </c>
      <c r="E44" s="5">
        <v>72.22</v>
      </c>
      <c r="F44" s="10">
        <v>70.36</v>
      </c>
      <c r="G44" s="109"/>
      <c r="H44" s="2">
        <v>91</v>
      </c>
      <c r="I44" s="5">
        <v>75.23</v>
      </c>
      <c r="J44" s="5">
        <v>74.98</v>
      </c>
      <c r="K44" s="10">
        <v>73.5</v>
      </c>
      <c r="L44" s="109"/>
      <c r="M44" s="2">
        <v>91</v>
      </c>
      <c r="N44" s="5">
        <v>76.94</v>
      </c>
      <c r="O44" s="5">
        <v>77.150000000000006</v>
      </c>
      <c r="P44" s="10">
        <v>76.25</v>
      </c>
    </row>
    <row r="45" spans="2:16" x14ac:dyDescent="0.2">
      <c r="B45" s="106"/>
      <c r="C45" s="6" t="s">
        <v>8</v>
      </c>
      <c r="D45" s="7">
        <f>AVERAGE(D40:D44)</f>
        <v>72.062000000000012</v>
      </c>
      <c r="E45" s="7">
        <f t="shared" ref="E45" si="15">AVERAGE(E40:E44)</f>
        <v>71.916000000000011</v>
      </c>
      <c r="F45" s="11">
        <f>AVERAGE(F40:F44)</f>
        <v>70.201999999999998</v>
      </c>
      <c r="G45" s="110"/>
      <c r="H45" s="6" t="s">
        <v>8</v>
      </c>
      <c r="I45" s="7">
        <f>AVERAGE(I40:I44)</f>
        <v>74.394000000000005</v>
      </c>
      <c r="J45" s="7">
        <f t="shared" ref="J45:K45" si="16">AVERAGE(J40:J44)</f>
        <v>74.207999999999998</v>
      </c>
      <c r="K45" s="11">
        <f t="shared" si="16"/>
        <v>72.766000000000005</v>
      </c>
      <c r="L45" s="110"/>
      <c r="M45" s="6" t="s">
        <v>8</v>
      </c>
      <c r="N45" s="7">
        <f>AVERAGE(N40:N44)</f>
        <v>76.215999999999994</v>
      </c>
      <c r="O45" s="7">
        <f t="shared" ref="O45:P45" si="17">AVERAGE(O40:O44)</f>
        <v>76.103999999999999</v>
      </c>
      <c r="P45" s="11">
        <f t="shared" si="17"/>
        <v>75.00800000000001</v>
      </c>
    </row>
    <row r="46" spans="2:16" x14ac:dyDescent="0.2">
      <c r="B46" s="105">
        <v>16</v>
      </c>
      <c r="C46" s="1">
        <v>13</v>
      </c>
      <c r="D46" s="4">
        <v>73.5</v>
      </c>
      <c r="E46" s="4">
        <v>73.2</v>
      </c>
      <c r="F46" s="9">
        <v>71.430000000000007</v>
      </c>
      <c r="G46" s="109">
        <v>16</v>
      </c>
      <c r="H46" s="1">
        <v>13</v>
      </c>
      <c r="I46" s="4">
        <v>77.11</v>
      </c>
      <c r="J46" s="4">
        <v>76.45</v>
      </c>
      <c r="K46" s="9">
        <v>76.569999999999993</v>
      </c>
      <c r="L46" s="109">
        <v>16</v>
      </c>
      <c r="M46" s="1">
        <v>13</v>
      </c>
      <c r="N46" s="4">
        <v>78.27</v>
      </c>
      <c r="O46" s="4">
        <v>78.12</v>
      </c>
      <c r="P46" s="9">
        <v>78.11</v>
      </c>
    </row>
    <row r="47" spans="2:16" x14ac:dyDescent="0.2">
      <c r="B47" s="105"/>
      <c r="C47" s="1">
        <v>21</v>
      </c>
      <c r="D47" s="4">
        <v>73.400000000000006</v>
      </c>
      <c r="E47" s="4">
        <v>73.239999999999995</v>
      </c>
      <c r="F47" s="9">
        <v>71.42</v>
      </c>
      <c r="G47" s="109"/>
      <c r="H47" s="1">
        <v>21</v>
      </c>
      <c r="I47" s="4">
        <v>76.900000000000006</v>
      </c>
      <c r="J47" s="4">
        <v>76.42</v>
      </c>
      <c r="K47" s="9">
        <v>76.92</v>
      </c>
      <c r="L47" s="109"/>
      <c r="M47" s="1">
        <v>21</v>
      </c>
      <c r="N47" s="4">
        <v>78.239999999999995</v>
      </c>
      <c r="O47" s="4">
        <v>78.16</v>
      </c>
      <c r="P47" s="9">
        <v>77.52</v>
      </c>
    </row>
    <row r="48" spans="2:16" x14ac:dyDescent="0.2">
      <c r="B48" s="105"/>
      <c r="C48" s="1">
        <v>47</v>
      </c>
      <c r="D48" s="4">
        <v>73.52</v>
      </c>
      <c r="E48" s="4">
        <v>73.510000000000005</v>
      </c>
      <c r="F48" s="9">
        <v>72.489999999999995</v>
      </c>
      <c r="G48" s="109"/>
      <c r="H48" s="1">
        <v>47</v>
      </c>
      <c r="I48" s="4">
        <v>77.040000000000006</v>
      </c>
      <c r="J48" s="4">
        <v>76.56</v>
      </c>
      <c r="K48" s="9">
        <v>77.05</v>
      </c>
      <c r="L48" s="109"/>
      <c r="M48" s="1">
        <v>47</v>
      </c>
      <c r="N48" s="4">
        <v>78.63</v>
      </c>
      <c r="O48" s="4">
        <v>78.06</v>
      </c>
      <c r="P48" s="9">
        <v>78.03</v>
      </c>
    </row>
    <row r="49" spans="2:16" x14ac:dyDescent="0.2">
      <c r="B49" s="105"/>
      <c r="C49" s="1">
        <v>50</v>
      </c>
      <c r="D49" s="4">
        <v>73.59</v>
      </c>
      <c r="E49" s="4">
        <v>73.47</v>
      </c>
      <c r="F49" s="9">
        <v>71.77</v>
      </c>
      <c r="G49" s="109"/>
      <c r="H49" s="1">
        <v>50</v>
      </c>
      <c r="I49" s="4">
        <v>77.180000000000007</v>
      </c>
      <c r="J49" s="4">
        <v>76.849999999999994</v>
      </c>
      <c r="K49" s="9">
        <v>77.28</v>
      </c>
      <c r="L49" s="109"/>
      <c r="M49" s="1">
        <v>50</v>
      </c>
      <c r="N49" s="4">
        <v>78.349999999999994</v>
      </c>
      <c r="O49" s="4">
        <v>78.05</v>
      </c>
      <c r="P49" s="9">
        <v>78.19</v>
      </c>
    </row>
    <row r="50" spans="2:16" x14ac:dyDescent="0.2">
      <c r="B50" s="105"/>
      <c r="C50" s="2">
        <v>91</v>
      </c>
      <c r="D50" s="5">
        <v>73.33</v>
      </c>
      <c r="E50" s="5">
        <v>73.11</v>
      </c>
      <c r="F50" s="10">
        <v>71.92</v>
      </c>
      <c r="G50" s="109"/>
      <c r="H50" s="2">
        <v>91</v>
      </c>
      <c r="I50" s="5">
        <v>76.650000000000006</v>
      </c>
      <c r="J50" s="5">
        <v>76.510000000000005</v>
      </c>
      <c r="K50" s="10">
        <v>77.02</v>
      </c>
      <c r="L50" s="109"/>
      <c r="M50" s="2">
        <v>91</v>
      </c>
      <c r="N50" s="5">
        <v>78.27</v>
      </c>
      <c r="O50" s="5">
        <v>77.709999999999994</v>
      </c>
      <c r="P50" s="10">
        <v>78.11</v>
      </c>
    </row>
    <row r="51" spans="2:16" x14ac:dyDescent="0.2">
      <c r="B51" s="106"/>
      <c r="C51" s="6" t="s">
        <v>8</v>
      </c>
      <c r="D51" s="7">
        <f>AVERAGE(D46:D50)</f>
        <v>73.467999999999989</v>
      </c>
      <c r="E51" s="7">
        <f t="shared" ref="E51:F51" si="18">AVERAGE(E46:E50)</f>
        <v>73.305999999999997</v>
      </c>
      <c r="F51" s="11">
        <f t="shared" si="18"/>
        <v>71.806000000000012</v>
      </c>
      <c r="G51" s="110"/>
      <c r="H51" s="6" t="s">
        <v>8</v>
      </c>
      <c r="I51" s="7">
        <f>AVERAGE(I46:I50)</f>
        <v>76.975999999999999</v>
      </c>
      <c r="J51" s="7">
        <f t="shared" ref="J51:K51" si="19">AVERAGE(J46:J50)</f>
        <v>76.557999999999993</v>
      </c>
      <c r="K51" s="11">
        <f t="shared" si="19"/>
        <v>76.968000000000004</v>
      </c>
      <c r="L51" s="110"/>
      <c r="M51" s="6" t="s">
        <v>8</v>
      </c>
      <c r="N51" s="7">
        <f>AVERAGE(N46:N50)</f>
        <v>78.352000000000004</v>
      </c>
      <c r="O51" s="7">
        <f t="shared" ref="O51:P51" si="20">AVERAGE(O46:O50)</f>
        <v>78.02</v>
      </c>
      <c r="P51" s="11">
        <f t="shared" si="20"/>
        <v>77.992000000000004</v>
      </c>
    </row>
    <row r="52" spans="2:16" x14ac:dyDescent="0.2">
      <c r="B52" s="105">
        <v>32</v>
      </c>
      <c r="C52" s="1">
        <v>13</v>
      </c>
      <c r="D52" s="4">
        <v>74.88</v>
      </c>
      <c r="E52" s="4">
        <v>74.489999999999995</v>
      </c>
      <c r="F52" s="9">
        <v>74.38</v>
      </c>
      <c r="G52" s="109">
        <v>32</v>
      </c>
      <c r="H52" s="1">
        <v>13</v>
      </c>
      <c r="I52" s="4">
        <v>78.290000000000006</v>
      </c>
      <c r="J52" s="4">
        <v>77.95</v>
      </c>
      <c r="K52" s="9">
        <v>78.569999999999993</v>
      </c>
      <c r="L52" s="109">
        <v>32</v>
      </c>
      <c r="M52" s="1">
        <v>13</v>
      </c>
      <c r="N52" s="4">
        <v>78.209999999999994</v>
      </c>
      <c r="O52" s="4">
        <v>77.489999999999995</v>
      </c>
      <c r="P52" s="9">
        <v>78.069999999999993</v>
      </c>
    </row>
    <row r="53" spans="2:16" x14ac:dyDescent="0.2">
      <c r="B53" s="105"/>
      <c r="C53" s="1">
        <v>21</v>
      </c>
      <c r="D53" s="4">
        <v>74.83</v>
      </c>
      <c r="E53" s="4">
        <v>74.31</v>
      </c>
      <c r="F53" s="9">
        <v>74.459999999999994</v>
      </c>
      <c r="G53" s="109"/>
      <c r="H53" s="1">
        <v>21</v>
      </c>
      <c r="I53" s="4">
        <v>78.040000000000006</v>
      </c>
      <c r="J53" s="4">
        <v>76.75</v>
      </c>
      <c r="K53" s="9">
        <v>78.040000000000006</v>
      </c>
      <c r="L53" s="109"/>
      <c r="M53" s="1">
        <v>21</v>
      </c>
      <c r="N53" s="4">
        <v>78.709999999999994</v>
      </c>
      <c r="O53" s="4">
        <v>78.19</v>
      </c>
      <c r="P53" s="9">
        <v>79.319999999999993</v>
      </c>
    </row>
    <row r="54" spans="2:16" x14ac:dyDescent="0.2">
      <c r="B54" s="105"/>
      <c r="C54" s="1">
        <v>47</v>
      </c>
      <c r="D54" s="4">
        <v>74.84</v>
      </c>
      <c r="E54" s="4">
        <v>74.180000000000007</v>
      </c>
      <c r="F54" s="9">
        <v>74.319999999999993</v>
      </c>
      <c r="G54" s="109"/>
      <c r="H54" s="1">
        <v>47</v>
      </c>
      <c r="I54" s="4">
        <v>77.98</v>
      </c>
      <c r="J54" s="4">
        <v>77.28</v>
      </c>
      <c r="K54" s="9">
        <v>78.260000000000005</v>
      </c>
      <c r="L54" s="109"/>
      <c r="M54" s="1">
        <v>47</v>
      </c>
      <c r="N54" s="4">
        <v>78.89</v>
      </c>
      <c r="O54" s="4">
        <v>78.42</v>
      </c>
      <c r="P54" s="9">
        <v>79.489999999999995</v>
      </c>
    </row>
    <row r="55" spans="2:16" x14ac:dyDescent="0.2">
      <c r="B55" s="105"/>
      <c r="C55" s="1">
        <v>50</v>
      </c>
      <c r="D55" s="4">
        <v>74.31</v>
      </c>
      <c r="E55" s="4">
        <v>73.8</v>
      </c>
      <c r="F55" s="9">
        <v>73.98</v>
      </c>
      <c r="G55" s="109"/>
      <c r="H55" s="1">
        <v>50</v>
      </c>
      <c r="I55" s="4">
        <v>78.08</v>
      </c>
      <c r="J55" s="4">
        <v>77.459999999999994</v>
      </c>
      <c r="K55" s="9">
        <v>78.400000000000006</v>
      </c>
      <c r="L55" s="109"/>
      <c r="M55" s="1">
        <v>50</v>
      </c>
      <c r="N55" s="4">
        <v>78.260000000000005</v>
      </c>
      <c r="O55" s="4">
        <v>78.03</v>
      </c>
      <c r="P55" s="9">
        <v>77.12</v>
      </c>
    </row>
    <row r="56" spans="2:16" x14ac:dyDescent="0.2">
      <c r="B56" s="105"/>
      <c r="C56" s="2">
        <v>91</v>
      </c>
      <c r="D56" s="5">
        <v>74.540000000000006</v>
      </c>
      <c r="E56" s="5">
        <v>74.31</v>
      </c>
      <c r="F56" s="10">
        <v>73.540000000000006</v>
      </c>
      <c r="G56" s="109"/>
      <c r="H56" s="2">
        <v>91</v>
      </c>
      <c r="I56" s="5">
        <v>77.89</v>
      </c>
      <c r="J56" s="5">
        <v>75.5</v>
      </c>
      <c r="K56" s="10">
        <v>78.099999999999994</v>
      </c>
      <c r="L56" s="109"/>
      <c r="M56" s="2">
        <v>91</v>
      </c>
      <c r="N56" s="5">
        <v>79.569999999999993</v>
      </c>
      <c r="O56" s="5">
        <v>77.959999999999994</v>
      </c>
      <c r="P56" s="10">
        <v>79.42</v>
      </c>
    </row>
    <row r="57" spans="2:16" x14ac:dyDescent="0.2">
      <c r="B57" s="106"/>
      <c r="C57" s="6" t="s">
        <v>8</v>
      </c>
      <c r="D57" s="7">
        <f>AVERAGE(D52:D56)</f>
        <v>74.680000000000007</v>
      </c>
      <c r="E57" s="7">
        <f t="shared" ref="E57:F57" si="21">AVERAGE(E52:E56)</f>
        <v>74.218000000000004</v>
      </c>
      <c r="F57" s="11">
        <f t="shared" si="21"/>
        <v>74.135999999999996</v>
      </c>
      <c r="G57" s="110"/>
      <c r="H57" s="6" t="s">
        <v>8</v>
      </c>
      <c r="I57" s="7">
        <f>AVERAGE(I52:I56)</f>
        <v>78.055999999999997</v>
      </c>
      <c r="J57" s="7">
        <f t="shared" ref="J57:K57" si="22">AVERAGE(J52:J56)</f>
        <v>76.988</v>
      </c>
      <c r="K57" s="11">
        <f t="shared" si="22"/>
        <v>78.274000000000001</v>
      </c>
      <c r="L57" s="110"/>
      <c r="M57" s="6" t="s">
        <v>8</v>
      </c>
      <c r="N57" s="7">
        <f>AVERAGE(N52:N56)</f>
        <v>78.727999999999994</v>
      </c>
      <c r="O57" s="7">
        <f t="shared" ref="O57:P57" si="23">AVERAGE(O52:O56)</f>
        <v>78.018000000000001</v>
      </c>
      <c r="P57" s="11">
        <f t="shared" si="23"/>
        <v>78.683999999999997</v>
      </c>
    </row>
    <row r="58" spans="2:16" x14ac:dyDescent="0.2">
      <c r="B58" s="105">
        <v>64</v>
      </c>
      <c r="C58" s="1">
        <v>13</v>
      </c>
      <c r="D58" s="4">
        <v>75</v>
      </c>
      <c r="E58" s="4">
        <v>74.72</v>
      </c>
      <c r="F58" s="9">
        <v>73.95</v>
      </c>
      <c r="G58" s="109">
        <v>64</v>
      </c>
      <c r="H58" s="1">
        <v>13</v>
      </c>
      <c r="I58" s="4">
        <v>78.09</v>
      </c>
      <c r="J58" s="4">
        <v>75.8</v>
      </c>
      <c r="K58" s="9">
        <v>78</v>
      </c>
      <c r="L58" s="109">
        <v>64</v>
      </c>
      <c r="M58" s="1">
        <v>13</v>
      </c>
      <c r="N58" s="112" t="s">
        <v>9</v>
      </c>
      <c r="O58" s="113"/>
      <c r="P58" s="114"/>
    </row>
    <row r="59" spans="2:16" x14ac:dyDescent="0.2">
      <c r="B59" s="105"/>
      <c r="C59" s="1">
        <v>21</v>
      </c>
      <c r="D59" s="4">
        <v>75.040000000000006</v>
      </c>
      <c r="E59" s="4">
        <v>74.55</v>
      </c>
      <c r="F59" s="9">
        <v>73.98</v>
      </c>
      <c r="G59" s="109"/>
      <c r="H59" s="1">
        <v>21</v>
      </c>
      <c r="I59" s="4">
        <v>77.81</v>
      </c>
      <c r="J59" s="4">
        <v>77.14</v>
      </c>
      <c r="K59" s="9">
        <v>78.33</v>
      </c>
      <c r="L59" s="109"/>
      <c r="M59" s="1">
        <v>21</v>
      </c>
      <c r="N59" s="115"/>
      <c r="O59" s="115"/>
      <c r="P59" s="116"/>
    </row>
    <row r="60" spans="2:16" x14ac:dyDescent="0.2">
      <c r="B60" s="105"/>
      <c r="C60" s="1">
        <v>47</v>
      </c>
      <c r="D60" s="4">
        <v>75.349999999999994</v>
      </c>
      <c r="E60" s="4">
        <v>75.040000000000006</v>
      </c>
      <c r="F60" s="9">
        <v>74.95</v>
      </c>
      <c r="G60" s="109"/>
      <c r="H60" s="1">
        <v>47</v>
      </c>
      <c r="I60" s="4">
        <v>77.959999999999994</v>
      </c>
      <c r="J60" s="4">
        <v>76.790000000000006</v>
      </c>
      <c r="K60" s="9">
        <v>77.959999999999994</v>
      </c>
      <c r="L60" s="109"/>
      <c r="M60" s="1">
        <v>47</v>
      </c>
      <c r="N60" s="115"/>
      <c r="O60" s="115"/>
      <c r="P60" s="116"/>
    </row>
    <row r="61" spans="2:16" x14ac:dyDescent="0.2">
      <c r="B61" s="105"/>
      <c r="C61" s="1">
        <v>50</v>
      </c>
      <c r="D61" s="4">
        <v>74.78</v>
      </c>
      <c r="E61" s="4">
        <v>74.31</v>
      </c>
      <c r="F61" s="9">
        <v>74.2</v>
      </c>
      <c r="G61" s="109"/>
      <c r="H61" s="1">
        <v>50</v>
      </c>
      <c r="I61" s="4">
        <v>77.459999999999994</v>
      </c>
      <c r="J61" s="4">
        <v>75.69</v>
      </c>
      <c r="K61" s="9">
        <v>77.83</v>
      </c>
      <c r="L61" s="109"/>
      <c r="M61" s="1">
        <v>50</v>
      </c>
      <c r="N61" s="115"/>
      <c r="O61" s="115"/>
      <c r="P61" s="116"/>
    </row>
    <row r="62" spans="2:16" x14ac:dyDescent="0.2">
      <c r="B62" s="105"/>
      <c r="C62" s="2">
        <v>91</v>
      </c>
      <c r="D62" s="5">
        <v>74.930000000000007</v>
      </c>
      <c r="E62" s="5">
        <v>75.150000000000006</v>
      </c>
      <c r="F62" s="10">
        <v>74.92</v>
      </c>
      <c r="G62" s="109"/>
      <c r="H62" s="2">
        <v>91</v>
      </c>
      <c r="I62" s="5">
        <v>77.489999999999995</v>
      </c>
      <c r="J62" s="5">
        <v>71.41</v>
      </c>
      <c r="K62" s="10">
        <v>76.150000000000006</v>
      </c>
      <c r="L62" s="109"/>
      <c r="M62" s="2">
        <v>91</v>
      </c>
      <c r="N62" s="117"/>
      <c r="O62" s="117"/>
      <c r="P62" s="118"/>
    </row>
    <row r="63" spans="2:16" x14ac:dyDescent="0.2">
      <c r="B63" s="106"/>
      <c r="C63" s="6" t="s">
        <v>8</v>
      </c>
      <c r="D63" s="7">
        <f>AVERAGE(D58:D62)</f>
        <v>75.02000000000001</v>
      </c>
      <c r="E63" s="7">
        <f t="shared" ref="E63:F63" si="24">AVERAGE(E58:E62)</f>
        <v>74.753999999999991</v>
      </c>
      <c r="F63" s="11">
        <f t="shared" si="24"/>
        <v>74.400000000000006</v>
      </c>
      <c r="G63" s="110"/>
      <c r="H63" s="6" t="s">
        <v>8</v>
      </c>
      <c r="I63" s="7">
        <f>AVERAGE(I58:I62)</f>
        <v>77.762</v>
      </c>
      <c r="J63" s="7">
        <f t="shared" ref="J63:K63" si="25">AVERAGE(J58:J62)</f>
        <v>75.366000000000014</v>
      </c>
      <c r="K63" s="11">
        <f t="shared" si="25"/>
        <v>77.653999999999996</v>
      </c>
      <c r="L63" s="110"/>
      <c r="M63" s="6" t="s">
        <v>8</v>
      </c>
      <c r="N63" s="7" t="e">
        <f>AVERAGE(N58:N62)</f>
        <v>#DIV/0!</v>
      </c>
      <c r="O63" s="7" t="e">
        <f t="shared" ref="O63:P63" si="26">AVERAGE(O58:O62)</f>
        <v>#DIV/0!</v>
      </c>
      <c r="P63" s="11" t="e">
        <f t="shared" si="26"/>
        <v>#DIV/0!</v>
      </c>
    </row>
    <row r="64" spans="2:16" x14ac:dyDescent="0.2">
      <c r="E64" s="84">
        <f>E63-E45</f>
        <v>2.8379999999999797</v>
      </c>
      <c r="F64" s="84">
        <f>F63-F45</f>
        <v>4.1980000000000075</v>
      </c>
    </row>
    <row r="69" spans="2:16" x14ac:dyDescent="0.2">
      <c r="B69" s="1" t="s">
        <v>18</v>
      </c>
      <c r="C69" s="1" t="s">
        <v>19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2:16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2:16" x14ac:dyDescent="0.2">
      <c r="B71" s="107" t="s">
        <v>0</v>
      </c>
      <c r="C71" s="108"/>
      <c r="D71" s="108"/>
      <c r="E71" s="108"/>
      <c r="F71" s="111"/>
      <c r="G71" s="108" t="s">
        <v>1</v>
      </c>
      <c r="H71" s="108"/>
      <c r="I71" s="108"/>
      <c r="J71" s="108"/>
      <c r="K71" s="111"/>
      <c r="L71" s="108" t="s">
        <v>2</v>
      </c>
      <c r="M71" s="108"/>
      <c r="N71" s="108"/>
      <c r="O71" s="108"/>
      <c r="P71" s="111"/>
    </row>
    <row r="72" spans="2:16" x14ac:dyDescent="0.2">
      <c r="B72" s="19" t="s">
        <v>3</v>
      </c>
      <c r="C72" s="3" t="s">
        <v>4</v>
      </c>
      <c r="D72" s="3" t="s">
        <v>5</v>
      </c>
      <c r="E72" s="3" t="s">
        <v>6</v>
      </c>
      <c r="F72" s="12" t="s">
        <v>7</v>
      </c>
      <c r="G72" s="3" t="s">
        <v>3</v>
      </c>
      <c r="H72" s="3" t="s">
        <v>4</v>
      </c>
      <c r="I72" s="3" t="s">
        <v>5</v>
      </c>
      <c r="J72" s="3" t="s">
        <v>6</v>
      </c>
      <c r="K72" s="12" t="s">
        <v>7</v>
      </c>
      <c r="L72" s="3" t="s">
        <v>3</v>
      </c>
      <c r="M72" s="3" t="s">
        <v>4</v>
      </c>
      <c r="N72" s="3" t="s">
        <v>5</v>
      </c>
      <c r="O72" s="3" t="s">
        <v>6</v>
      </c>
      <c r="P72" s="12" t="s">
        <v>7</v>
      </c>
    </row>
    <row r="73" spans="2:16" x14ac:dyDescent="0.2">
      <c r="B73" s="105">
        <v>8</v>
      </c>
      <c r="C73" s="1">
        <v>13</v>
      </c>
      <c r="D73" s="1">
        <v>71.680000000000007</v>
      </c>
      <c r="E73" s="1">
        <v>71.67</v>
      </c>
      <c r="F73" s="8">
        <v>72.489999999999995</v>
      </c>
      <c r="G73" s="109">
        <v>8</v>
      </c>
      <c r="H73" s="1">
        <v>13</v>
      </c>
      <c r="I73" s="1">
        <v>72.38</v>
      </c>
      <c r="J73" s="1">
        <v>72.39</v>
      </c>
      <c r="K73" s="8">
        <v>73.34</v>
      </c>
      <c r="L73" s="109">
        <v>8</v>
      </c>
      <c r="M73" s="1">
        <v>13</v>
      </c>
      <c r="N73" s="1">
        <v>72.56</v>
      </c>
      <c r="O73" s="1">
        <v>72.209999999999994</v>
      </c>
      <c r="P73" s="8">
        <v>72.84</v>
      </c>
    </row>
    <row r="74" spans="2:16" x14ac:dyDescent="0.2">
      <c r="B74" s="105"/>
      <c r="C74" s="1">
        <v>21</v>
      </c>
      <c r="D74" s="4">
        <v>72.040000000000006</v>
      </c>
      <c r="E74" s="4">
        <v>72.52</v>
      </c>
      <c r="F74" s="9">
        <v>73.03</v>
      </c>
      <c r="G74" s="109"/>
      <c r="H74" s="1">
        <v>21</v>
      </c>
      <c r="I74" s="4">
        <v>72.59</v>
      </c>
      <c r="J74" s="4">
        <v>72.739999999999995</v>
      </c>
      <c r="K74" s="9">
        <v>73.39</v>
      </c>
      <c r="L74" s="109"/>
      <c r="M74" s="1">
        <v>21</v>
      </c>
      <c r="N74" s="4">
        <v>73.709999999999994</v>
      </c>
      <c r="O74" s="4">
        <v>74</v>
      </c>
      <c r="P74" s="9">
        <v>75.52</v>
      </c>
    </row>
    <row r="75" spans="2:16" x14ac:dyDescent="0.2">
      <c r="B75" s="105"/>
      <c r="C75" s="1">
        <v>47</v>
      </c>
      <c r="D75" s="4">
        <v>71.72</v>
      </c>
      <c r="E75" s="4">
        <v>71.91</v>
      </c>
      <c r="F75" s="9">
        <v>73.16</v>
      </c>
      <c r="G75" s="109"/>
      <c r="H75" s="1">
        <v>47</v>
      </c>
      <c r="I75" s="4">
        <v>71.94</v>
      </c>
      <c r="J75" s="4">
        <v>72.09</v>
      </c>
      <c r="K75" s="9">
        <v>72.66</v>
      </c>
      <c r="L75" s="109"/>
      <c r="M75" s="1">
        <v>47</v>
      </c>
      <c r="N75" s="4">
        <v>72.38</v>
      </c>
      <c r="O75" s="4">
        <v>72.569999999999993</v>
      </c>
      <c r="P75" s="9">
        <v>72.510000000000005</v>
      </c>
    </row>
    <row r="76" spans="2:16" x14ac:dyDescent="0.2">
      <c r="B76" s="105"/>
      <c r="C76" s="1">
        <v>50</v>
      </c>
      <c r="D76" s="4">
        <v>71.75</v>
      </c>
      <c r="E76" s="4">
        <v>71.87</v>
      </c>
      <c r="F76" s="9">
        <v>73.150000000000006</v>
      </c>
      <c r="G76" s="109"/>
      <c r="H76" s="1">
        <v>50</v>
      </c>
      <c r="I76" s="4">
        <v>72.17</v>
      </c>
      <c r="J76" s="4">
        <v>72.19</v>
      </c>
      <c r="K76" s="9">
        <v>74.010000000000005</v>
      </c>
      <c r="L76" s="109"/>
      <c r="M76" s="1">
        <v>50</v>
      </c>
      <c r="N76" s="4">
        <v>69.48</v>
      </c>
      <c r="O76" s="4">
        <v>69.459999999999994</v>
      </c>
      <c r="P76" s="9">
        <v>70.62</v>
      </c>
    </row>
    <row r="77" spans="2:16" x14ac:dyDescent="0.2">
      <c r="B77" s="105"/>
      <c r="C77" s="2">
        <v>91</v>
      </c>
      <c r="D77" s="5">
        <v>71.319999999999993</v>
      </c>
      <c r="E77" s="5">
        <v>71.349999999999994</v>
      </c>
      <c r="F77" s="10">
        <v>73.069999999999993</v>
      </c>
      <c r="G77" s="109"/>
      <c r="H77" s="2">
        <v>91</v>
      </c>
      <c r="I77" s="5">
        <v>71.61</v>
      </c>
      <c r="J77" s="5">
        <v>71.489999999999995</v>
      </c>
      <c r="K77" s="10">
        <v>72.7</v>
      </c>
      <c r="L77" s="109"/>
      <c r="M77" s="2">
        <v>91</v>
      </c>
      <c r="N77" s="5">
        <v>71.97</v>
      </c>
      <c r="O77" s="5">
        <v>71.61</v>
      </c>
      <c r="P77" s="10">
        <v>73.53</v>
      </c>
    </row>
    <row r="78" spans="2:16" x14ac:dyDescent="0.2">
      <c r="B78" s="106"/>
      <c r="C78" s="6" t="s">
        <v>8</v>
      </c>
      <c r="D78" s="7">
        <f>AVERAGE(D73:D77)</f>
        <v>71.702000000000012</v>
      </c>
      <c r="E78" s="7">
        <f t="shared" ref="E78" si="27">AVERAGE(E73:E77)</f>
        <v>71.864000000000004</v>
      </c>
      <c r="F78" s="11">
        <f>AVERAGE(F73:F77)</f>
        <v>72.97999999999999</v>
      </c>
      <c r="G78" s="110"/>
      <c r="H78" s="6" t="s">
        <v>8</v>
      </c>
      <c r="I78" s="7">
        <f>AVERAGE(I73:I77)</f>
        <v>72.138000000000005</v>
      </c>
      <c r="J78" s="7">
        <f t="shared" ref="J78:K78" si="28">AVERAGE(J73:J77)</f>
        <v>72.179999999999993</v>
      </c>
      <c r="K78" s="11">
        <f t="shared" si="28"/>
        <v>73.22</v>
      </c>
      <c r="L78" s="110"/>
      <c r="M78" s="6" t="s">
        <v>8</v>
      </c>
      <c r="N78" s="7">
        <f>AVERAGE(N73:N77)</f>
        <v>72.02000000000001</v>
      </c>
      <c r="O78" s="7">
        <f t="shared" ref="O78:P78" si="29">AVERAGE(O73:O77)</f>
        <v>71.97</v>
      </c>
      <c r="P78" s="11">
        <f t="shared" si="29"/>
        <v>73.003999999999991</v>
      </c>
    </row>
    <row r="79" spans="2:16" x14ac:dyDescent="0.2">
      <c r="B79" s="105">
        <v>16</v>
      </c>
      <c r="C79" s="1">
        <v>13</v>
      </c>
      <c r="D79" s="4">
        <v>74.36</v>
      </c>
      <c r="E79" s="4">
        <v>74.75</v>
      </c>
      <c r="F79" s="9">
        <v>75.040000000000006</v>
      </c>
      <c r="G79" s="109">
        <v>16</v>
      </c>
      <c r="H79" s="1">
        <v>13</v>
      </c>
      <c r="I79" s="4">
        <v>75.88</v>
      </c>
      <c r="J79" s="4">
        <v>76.599999999999994</v>
      </c>
      <c r="K79" s="9">
        <v>76.98</v>
      </c>
      <c r="L79" s="109">
        <v>16</v>
      </c>
      <c r="M79" s="1">
        <v>13</v>
      </c>
      <c r="N79" s="4">
        <v>76.33</v>
      </c>
      <c r="O79" s="4">
        <v>77.040000000000006</v>
      </c>
      <c r="P79" s="9">
        <v>76.94</v>
      </c>
    </row>
    <row r="80" spans="2:16" x14ac:dyDescent="0.2">
      <c r="B80" s="105"/>
      <c r="C80" s="1">
        <v>21</v>
      </c>
      <c r="D80" s="4">
        <v>74.650000000000006</v>
      </c>
      <c r="E80" s="4">
        <v>75.150000000000006</v>
      </c>
      <c r="F80" s="9">
        <v>76.39</v>
      </c>
      <c r="G80" s="109"/>
      <c r="H80" s="1">
        <v>21</v>
      </c>
      <c r="I80" s="4">
        <v>75.349999999999994</v>
      </c>
      <c r="J80" s="4">
        <v>76.239999999999995</v>
      </c>
      <c r="K80" s="9">
        <v>76.650000000000006</v>
      </c>
      <c r="L80" s="109"/>
      <c r="M80" s="1">
        <v>21</v>
      </c>
      <c r="N80" s="4">
        <v>77.239999999999995</v>
      </c>
      <c r="O80" s="4">
        <v>77.52</v>
      </c>
      <c r="P80" s="9">
        <v>78.650000000000006</v>
      </c>
    </row>
    <row r="81" spans="2:16" x14ac:dyDescent="0.2">
      <c r="B81" s="105"/>
      <c r="C81" s="1">
        <v>47</v>
      </c>
      <c r="D81" s="4">
        <v>74.38</v>
      </c>
      <c r="E81" s="4">
        <v>75.03</v>
      </c>
      <c r="F81" s="9">
        <v>75.28</v>
      </c>
      <c r="G81" s="109"/>
      <c r="H81" s="1">
        <v>47</v>
      </c>
      <c r="I81" s="4">
        <v>75.91</v>
      </c>
      <c r="J81" s="4">
        <v>77.16</v>
      </c>
      <c r="K81" s="9">
        <v>76.98</v>
      </c>
      <c r="L81" s="109"/>
      <c r="M81" s="1">
        <v>47</v>
      </c>
      <c r="N81" s="4">
        <v>76.77</v>
      </c>
      <c r="O81" s="4">
        <v>77.56</v>
      </c>
      <c r="P81" s="9">
        <v>77.83</v>
      </c>
    </row>
    <row r="82" spans="2:16" x14ac:dyDescent="0.2">
      <c r="B82" s="105"/>
      <c r="C82" s="1">
        <v>50</v>
      </c>
      <c r="D82" s="4">
        <v>74.55</v>
      </c>
      <c r="E82" s="4">
        <v>75.319999999999993</v>
      </c>
      <c r="F82" s="9">
        <v>75.489999999999995</v>
      </c>
      <c r="G82" s="109"/>
      <c r="H82" s="1">
        <v>50</v>
      </c>
      <c r="I82" s="4">
        <v>75.61</v>
      </c>
      <c r="J82" s="4">
        <v>76.53</v>
      </c>
      <c r="K82" s="9">
        <v>77.17</v>
      </c>
      <c r="L82" s="109"/>
      <c r="M82" s="1">
        <v>50</v>
      </c>
      <c r="N82" s="4">
        <v>77.47</v>
      </c>
      <c r="O82" s="4">
        <v>78.040000000000006</v>
      </c>
      <c r="P82" s="9">
        <v>78.459999999999994</v>
      </c>
    </row>
    <row r="83" spans="2:16" x14ac:dyDescent="0.2">
      <c r="B83" s="105"/>
      <c r="C83" s="2">
        <v>91</v>
      </c>
      <c r="D83" s="5">
        <v>72.53</v>
      </c>
      <c r="E83" s="5">
        <v>72.86</v>
      </c>
      <c r="F83" s="10">
        <v>73.52</v>
      </c>
      <c r="G83" s="109"/>
      <c r="H83" s="2">
        <v>91</v>
      </c>
      <c r="I83" s="5">
        <v>75.89</v>
      </c>
      <c r="J83" s="5">
        <v>76.790000000000006</v>
      </c>
      <c r="K83" s="10">
        <v>76.62</v>
      </c>
      <c r="L83" s="109"/>
      <c r="M83" s="2">
        <v>91</v>
      </c>
      <c r="N83" s="5">
        <v>77.430000000000007</v>
      </c>
      <c r="O83" s="5">
        <v>77.97</v>
      </c>
      <c r="P83" s="10">
        <v>78.5</v>
      </c>
    </row>
    <row r="84" spans="2:16" x14ac:dyDescent="0.2">
      <c r="B84" s="106"/>
      <c r="C84" s="6" t="s">
        <v>8</v>
      </c>
      <c r="D84" s="7">
        <f>AVERAGE(D79:D83)</f>
        <v>74.094000000000008</v>
      </c>
      <c r="E84" s="7">
        <f t="shared" ref="E84:F84" si="30">AVERAGE(E79:E83)</f>
        <v>74.622</v>
      </c>
      <c r="F84" s="11">
        <f t="shared" si="30"/>
        <v>75.143999999999991</v>
      </c>
      <c r="G84" s="110"/>
      <c r="H84" s="6" t="s">
        <v>8</v>
      </c>
      <c r="I84" s="7">
        <f>AVERAGE(I79:I83)</f>
        <v>75.727999999999994</v>
      </c>
      <c r="J84" s="7">
        <f t="shared" ref="J84:K84" si="31">AVERAGE(J79:J83)</f>
        <v>76.664000000000001</v>
      </c>
      <c r="K84" s="11">
        <f t="shared" si="31"/>
        <v>76.88000000000001</v>
      </c>
      <c r="L84" s="110"/>
      <c r="M84" s="6" t="s">
        <v>8</v>
      </c>
      <c r="N84" s="7">
        <f>AVERAGE(N79:N83)</f>
        <v>77.047999999999988</v>
      </c>
      <c r="O84" s="7">
        <f t="shared" ref="O84:P84" si="32">AVERAGE(O79:O83)</f>
        <v>77.626000000000005</v>
      </c>
      <c r="P84" s="11">
        <f t="shared" si="32"/>
        <v>78.075999999999993</v>
      </c>
    </row>
    <row r="85" spans="2:16" x14ac:dyDescent="0.2">
      <c r="B85" s="105">
        <v>32</v>
      </c>
      <c r="C85" s="1">
        <v>13</v>
      </c>
      <c r="D85" s="4">
        <v>75.599999999999994</v>
      </c>
      <c r="E85" s="4">
        <v>76.05</v>
      </c>
      <c r="F85" s="9">
        <v>77.180000000000007</v>
      </c>
      <c r="G85" s="109">
        <v>32</v>
      </c>
      <c r="H85" s="1">
        <v>13</v>
      </c>
      <c r="I85" s="4">
        <v>76.88</v>
      </c>
      <c r="J85" s="4">
        <v>77.59</v>
      </c>
      <c r="K85" s="9">
        <v>77.94</v>
      </c>
      <c r="L85" s="109">
        <v>32</v>
      </c>
      <c r="M85" s="1">
        <v>13</v>
      </c>
      <c r="N85" s="4">
        <v>77.819999999999993</v>
      </c>
      <c r="O85" s="4">
        <v>78.47</v>
      </c>
      <c r="P85" s="9">
        <v>78.709999999999994</v>
      </c>
    </row>
    <row r="86" spans="2:16" x14ac:dyDescent="0.2">
      <c r="B86" s="105"/>
      <c r="C86" s="1">
        <v>21</v>
      </c>
      <c r="D86" s="4">
        <v>74.95</v>
      </c>
      <c r="E86" s="4">
        <v>75.41</v>
      </c>
      <c r="F86" s="9">
        <v>76.58</v>
      </c>
      <c r="G86" s="109"/>
      <c r="H86" s="1">
        <v>21</v>
      </c>
      <c r="I86" s="4">
        <v>76.180000000000007</v>
      </c>
      <c r="J86" s="4">
        <v>76.81</v>
      </c>
      <c r="K86" s="9">
        <v>77.709999999999994</v>
      </c>
      <c r="L86" s="109"/>
      <c r="M86" s="1">
        <v>21</v>
      </c>
      <c r="N86" s="4">
        <v>78.849999999999994</v>
      </c>
      <c r="O86" s="4">
        <v>79.77</v>
      </c>
      <c r="P86" s="9">
        <v>80.430000000000007</v>
      </c>
    </row>
    <row r="87" spans="2:16" x14ac:dyDescent="0.2">
      <c r="B87" s="105"/>
      <c r="C87" s="1">
        <v>47</v>
      </c>
      <c r="D87" s="4">
        <v>75.849999999999994</v>
      </c>
      <c r="E87" s="4">
        <v>76.150000000000006</v>
      </c>
      <c r="F87" s="9">
        <v>76.989999999999995</v>
      </c>
      <c r="G87" s="109"/>
      <c r="H87" s="1">
        <v>47</v>
      </c>
      <c r="I87" s="4">
        <v>76.959999999999994</v>
      </c>
      <c r="J87" s="4">
        <v>77.62</v>
      </c>
      <c r="K87" s="9">
        <v>77.77</v>
      </c>
      <c r="L87" s="109"/>
      <c r="M87" s="1">
        <v>47</v>
      </c>
      <c r="N87" s="4">
        <v>78.709999999999994</v>
      </c>
      <c r="O87" s="4">
        <v>79.44</v>
      </c>
      <c r="P87" s="9">
        <v>79.930000000000007</v>
      </c>
    </row>
    <row r="88" spans="2:16" x14ac:dyDescent="0.2">
      <c r="B88" s="105"/>
      <c r="C88" s="1">
        <v>50</v>
      </c>
      <c r="D88" s="4">
        <v>75.540000000000006</v>
      </c>
      <c r="E88" s="4">
        <v>75.739999999999995</v>
      </c>
      <c r="F88" s="9">
        <v>77.06</v>
      </c>
      <c r="G88" s="109"/>
      <c r="H88" s="1">
        <v>50</v>
      </c>
      <c r="I88" s="4">
        <v>76.739999999999995</v>
      </c>
      <c r="J88" s="4">
        <v>77.08</v>
      </c>
      <c r="K88" s="9">
        <v>78.19</v>
      </c>
      <c r="L88" s="109"/>
      <c r="M88" s="1">
        <v>50</v>
      </c>
      <c r="N88" s="4">
        <v>78.709999999999994</v>
      </c>
      <c r="O88" s="4">
        <v>79.400000000000006</v>
      </c>
      <c r="P88" s="9">
        <v>80.02</v>
      </c>
    </row>
    <row r="89" spans="2:16" x14ac:dyDescent="0.2">
      <c r="B89" s="105"/>
      <c r="C89" s="2">
        <v>91</v>
      </c>
      <c r="D89" s="5">
        <v>75.17</v>
      </c>
      <c r="E89" s="5">
        <v>75.73</v>
      </c>
      <c r="F89" s="10">
        <v>76.42</v>
      </c>
      <c r="G89" s="109"/>
      <c r="H89" s="2">
        <v>91</v>
      </c>
      <c r="I89" s="5">
        <v>76.75</v>
      </c>
      <c r="J89" s="5">
        <v>77.260000000000005</v>
      </c>
      <c r="K89" s="10">
        <v>78.180000000000007</v>
      </c>
      <c r="L89" s="109"/>
      <c r="M89" s="2">
        <v>91</v>
      </c>
      <c r="N89" s="5">
        <v>78.849999999999994</v>
      </c>
      <c r="O89" s="5">
        <v>79.31</v>
      </c>
      <c r="P89" s="10">
        <v>79.91</v>
      </c>
    </row>
    <row r="90" spans="2:16" x14ac:dyDescent="0.2">
      <c r="B90" s="106"/>
      <c r="C90" s="6" t="s">
        <v>8</v>
      </c>
      <c r="D90" s="7">
        <f>AVERAGE(D85:D89)</f>
        <v>75.421999999999997</v>
      </c>
      <c r="E90" s="7">
        <f t="shared" ref="E90:F90" si="33">AVERAGE(E85:E89)</f>
        <v>75.816000000000003</v>
      </c>
      <c r="F90" s="11">
        <f t="shared" si="33"/>
        <v>76.846000000000004</v>
      </c>
      <c r="G90" s="110"/>
      <c r="H90" s="6" t="s">
        <v>8</v>
      </c>
      <c r="I90" s="7">
        <f>AVERAGE(I85:I89)</f>
        <v>76.701999999999998</v>
      </c>
      <c r="J90" s="7">
        <f t="shared" ref="J90:K90" si="34">AVERAGE(J85:J89)</f>
        <v>77.272000000000006</v>
      </c>
      <c r="K90" s="11">
        <f t="shared" si="34"/>
        <v>77.957999999999998</v>
      </c>
      <c r="L90" s="110"/>
      <c r="M90" s="6" t="s">
        <v>8</v>
      </c>
      <c r="N90" s="7">
        <f>AVERAGE(N85:N89)</f>
        <v>78.587999999999994</v>
      </c>
      <c r="O90" s="7">
        <f t="shared" ref="O90:P90" si="35">AVERAGE(O85:O89)</f>
        <v>79.278000000000006</v>
      </c>
      <c r="P90" s="11">
        <f t="shared" si="35"/>
        <v>79.8</v>
      </c>
    </row>
    <row r="91" spans="2:16" x14ac:dyDescent="0.2">
      <c r="B91" s="105">
        <v>64</v>
      </c>
      <c r="C91" s="1">
        <v>13</v>
      </c>
      <c r="D91" s="4">
        <v>75.25</v>
      </c>
      <c r="E91" s="4">
        <v>75.45</v>
      </c>
      <c r="F91" s="9">
        <v>77.16</v>
      </c>
      <c r="G91" s="109">
        <v>64</v>
      </c>
      <c r="H91" s="1">
        <v>13</v>
      </c>
      <c r="I91" s="4">
        <v>76.11</v>
      </c>
      <c r="J91" s="4">
        <v>76.760000000000005</v>
      </c>
      <c r="K91" s="9">
        <v>77.400000000000006</v>
      </c>
      <c r="L91" s="109">
        <v>64</v>
      </c>
      <c r="M91" s="1">
        <v>13</v>
      </c>
      <c r="N91" s="112" t="s">
        <v>9</v>
      </c>
      <c r="O91" s="113"/>
      <c r="P91" s="114"/>
    </row>
    <row r="92" spans="2:16" x14ac:dyDescent="0.2">
      <c r="B92" s="105"/>
      <c r="C92" s="1">
        <v>21</v>
      </c>
      <c r="D92" s="4">
        <v>75.510000000000005</v>
      </c>
      <c r="E92" s="4">
        <v>76.05</v>
      </c>
      <c r="F92" s="9">
        <v>76.22</v>
      </c>
      <c r="G92" s="109"/>
      <c r="H92" s="1">
        <v>21</v>
      </c>
      <c r="I92" s="4">
        <v>75.86</v>
      </c>
      <c r="J92" s="4">
        <v>76.67</v>
      </c>
      <c r="K92" s="9">
        <v>76.650000000000006</v>
      </c>
      <c r="L92" s="109"/>
      <c r="M92" s="1">
        <v>21</v>
      </c>
      <c r="N92" s="115"/>
      <c r="O92" s="115"/>
      <c r="P92" s="116"/>
    </row>
    <row r="93" spans="2:16" x14ac:dyDescent="0.2">
      <c r="B93" s="105"/>
      <c r="C93" s="1">
        <v>47</v>
      </c>
      <c r="D93" s="4">
        <v>75.319999999999993</v>
      </c>
      <c r="E93" s="4">
        <v>75.89</v>
      </c>
      <c r="F93" s="9">
        <v>77.180000000000007</v>
      </c>
      <c r="G93" s="109"/>
      <c r="H93" s="1">
        <v>47</v>
      </c>
      <c r="I93" s="4">
        <v>75.84</v>
      </c>
      <c r="J93" s="4">
        <v>76.38</v>
      </c>
      <c r="K93" s="9">
        <v>77.83</v>
      </c>
      <c r="L93" s="109"/>
      <c r="M93" s="1">
        <v>47</v>
      </c>
      <c r="N93" s="115"/>
      <c r="O93" s="115"/>
      <c r="P93" s="116"/>
    </row>
    <row r="94" spans="2:16" x14ac:dyDescent="0.2">
      <c r="B94" s="105"/>
      <c r="C94" s="1">
        <v>50</v>
      </c>
      <c r="D94" s="4">
        <v>75.22</v>
      </c>
      <c r="E94" s="4">
        <v>75.680000000000007</v>
      </c>
      <c r="F94" s="9">
        <v>76.42</v>
      </c>
      <c r="G94" s="109"/>
      <c r="H94" s="1">
        <v>50</v>
      </c>
      <c r="I94" s="4">
        <v>76.27</v>
      </c>
      <c r="J94" s="4">
        <v>77.16</v>
      </c>
      <c r="K94" s="9">
        <v>77.16</v>
      </c>
      <c r="L94" s="109"/>
      <c r="M94" s="1">
        <v>50</v>
      </c>
      <c r="N94" s="115"/>
      <c r="O94" s="115"/>
      <c r="P94" s="116"/>
    </row>
    <row r="95" spans="2:16" x14ac:dyDescent="0.2">
      <c r="B95" s="105"/>
      <c r="C95" s="2">
        <v>91</v>
      </c>
      <c r="D95" s="5">
        <v>75.099999999999994</v>
      </c>
      <c r="E95" s="5">
        <v>75.55</v>
      </c>
      <c r="F95" s="10">
        <v>76.47</v>
      </c>
      <c r="G95" s="109"/>
      <c r="H95" s="2">
        <v>91</v>
      </c>
      <c r="I95" s="5">
        <v>76.239999999999995</v>
      </c>
      <c r="J95" s="5">
        <v>76.319999999999993</v>
      </c>
      <c r="K95" s="10">
        <v>77.97</v>
      </c>
      <c r="L95" s="109"/>
      <c r="M95" s="2">
        <v>91</v>
      </c>
      <c r="N95" s="117"/>
      <c r="O95" s="117"/>
      <c r="P95" s="118"/>
    </row>
    <row r="96" spans="2:16" x14ac:dyDescent="0.2">
      <c r="B96" s="106"/>
      <c r="C96" s="6" t="s">
        <v>8</v>
      </c>
      <c r="D96" s="7">
        <f>AVERAGE(D91:D95)</f>
        <v>75.28</v>
      </c>
      <c r="E96" s="7">
        <f t="shared" ref="E96:F96" si="36">AVERAGE(E91:E95)</f>
        <v>75.724000000000004</v>
      </c>
      <c r="F96" s="11">
        <f t="shared" si="36"/>
        <v>76.690000000000012</v>
      </c>
      <c r="G96" s="110"/>
      <c r="H96" s="6" t="s">
        <v>8</v>
      </c>
      <c r="I96" s="7">
        <f>AVERAGE(I91:I95)</f>
        <v>76.063999999999993</v>
      </c>
      <c r="J96" s="7">
        <f t="shared" ref="J96:K96" si="37">AVERAGE(J91:J95)</f>
        <v>76.658000000000001</v>
      </c>
      <c r="K96" s="11">
        <f t="shared" si="37"/>
        <v>77.402000000000001</v>
      </c>
      <c r="L96" s="110"/>
      <c r="M96" s="6" t="s">
        <v>8</v>
      </c>
      <c r="N96" s="7" t="e">
        <f>AVERAGE(N91:N95)</f>
        <v>#DIV/0!</v>
      </c>
      <c r="O96" s="7" t="e">
        <f t="shared" ref="O96:P96" si="38">AVERAGE(O91:O95)</f>
        <v>#DIV/0!</v>
      </c>
      <c r="P96" s="11" t="e">
        <f t="shared" si="38"/>
        <v>#DIV/0!</v>
      </c>
    </row>
    <row r="97" spans="2:16" x14ac:dyDescent="0.2">
      <c r="B97" s="1"/>
      <c r="C97" s="1"/>
      <c r="D97" s="1"/>
      <c r="E97" s="4">
        <f>E96-E78</f>
        <v>3.8599999999999994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2:16" x14ac:dyDescent="0.2">
      <c r="B98" s="107" t="s">
        <v>15</v>
      </c>
      <c r="C98" s="108"/>
      <c r="D98" s="108"/>
      <c r="E98" s="108"/>
      <c r="F98" s="111"/>
      <c r="G98" s="108" t="s">
        <v>16</v>
      </c>
      <c r="H98" s="108"/>
      <c r="I98" s="108"/>
      <c r="J98" s="108"/>
      <c r="K98" s="111"/>
      <c r="L98" s="108" t="s">
        <v>17</v>
      </c>
      <c r="M98" s="108"/>
      <c r="N98" s="108"/>
      <c r="O98" s="108"/>
      <c r="P98" s="111"/>
    </row>
    <row r="99" spans="2:16" x14ac:dyDescent="0.2">
      <c r="B99" s="19" t="s">
        <v>3</v>
      </c>
      <c r="C99" s="3" t="s">
        <v>4</v>
      </c>
      <c r="D99" s="3" t="s">
        <v>5</v>
      </c>
      <c r="E99" s="3" t="s">
        <v>6</v>
      </c>
      <c r="F99" s="12" t="s">
        <v>7</v>
      </c>
      <c r="G99" s="3" t="s">
        <v>3</v>
      </c>
      <c r="H99" s="3" t="s">
        <v>4</v>
      </c>
      <c r="I99" s="3" t="s">
        <v>5</v>
      </c>
      <c r="J99" s="3" t="s">
        <v>6</v>
      </c>
      <c r="K99" s="12" t="s">
        <v>7</v>
      </c>
      <c r="L99" s="3" t="s">
        <v>3</v>
      </c>
      <c r="M99" s="3" t="s">
        <v>4</v>
      </c>
      <c r="N99" s="3" t="s">
        <v>5</v>
      </c>
      <c r="O99" s="3" t="s">
        <v>6</v>
      </c>
      <c r="P99" s="12" t="s">
        <v>7</v>
      </c>
    </row>
    <row r="100" spans="2:16" x14ac:dyDescent="0.2">
      <c r="B100" s="105">
        <v>8</v>
      </c>
      <c r="C100" s="1">
        <v>13</v>
      </c>
      <c r="D100" s="4">
        <v>71.930000000000007</v>
      </c>
      <c r="E100" s="1">
        <v>71.84</v>
      </c>
      <c r="F100" s="8">
        <v>70.25</v>
      </c>
      <c r="G100" s="109">
        <v>8</v>
      </c>
      <c r="H100" s="1">
        <v>13</v>
      </c>
      <c r="I100" s="1">
        <v>75.28</v>
      </c>
      <c r="J100" s="4">
        <v>75.05</v>
      </c>
      <c r="K100" s="8">
        <v>74.02</v>
      </c>
      <c r="L100" s="109">
        <v>8</v>
      </c>
      <c r="M100" s="1">
        <v>13</v>
      </c>
      <c r="N100" s="1">
        <v>77.56</v>
      </c>
      <c r="O100" s="1">
        <v>77.290000000000006</v>
      </c>
      <c r="P100" s="8">
        <v>77.45</v>
      </c>
    </row>
    <row r="101" spans="2:16" x14ac:dyDescent="0.2">
      <c r="B101" s="105"/>
      <c r="C101" s="1">
        <v>21</v>
      </c>
      <c r="D101" s="4">
        <v>71.760000000000005</v>
      </c>
      <c r="E101" s="4">
        <v>71.81</v>
      </c>
      <c r="F101" s="9">
        <v>70.78</v>
      </c>
      <c r="G101" s="109"/>
      <c r="H101" s="1">
        <v>21</v>
      </c>
      <c r="I101" s="4">
        <v>76.150000000000006</v>
      </c>
      <c r="J101" s="4">
        <v>76.16</v>
      </c>
      <c r="K101" s="9">
        <v>75.38</v>
      </c>
      <c r="L101" s="109"/>
      <c r="M101" s="1">
        <v>21</v>
      </c>
      <c r="N101" s="4">
        <v>77.73</v>
      </c>
      <c r="O101" s="4">
        <v>77.349999999999994</v>
      </c>
      <c r="P101" s="9">
        <v>76.64</v>
      </c>
    </row>
    <row r="102" spans="2:16" x14ac:dyDescent="0.2">
      <c r="B102" s="105"/>
      <c r="C102" s="1">
        <v>47</v>
      </c>
      <c r="D102" s="4">
        <v>71.75</v>
      </c>
      <c r="E102" s="4">
        <v>71.61</v>
      </c>
      <c r="F102" s="9">
        <v>69.16</v>
      </c>
      <c r="G102" s="109"/>
      <c r="H102" s="1">
        <v>47</v>
      </c>
      <c r="I102" s="4">
        <v>75.39</v>
      </c>
      <c r="J102" s="4">
        <v>75.25</v>
      </c>
      <c r="K102" s="9">
        <v>73.97</v>
      </c>
      <c r="L102" s="109"/>
      <c r="M102" s="1">
        <v>47</v>
      </c>
      <c r="N102" s="4">
        <v>77.459999999999994</v>
      </c>
      <c r="O102" s="4">
        <v>77.22</v>
      </c>
      <c r="P102" s="9">
        <v>76.73</v>
      </c>
    </row>
    <row r="103" spans="2:16" x14ac:dyDescent="0.2">
      <c r="B103" s="105"/>
      <c r="C103" s="1">
        <v>50</v>
      </c>
      <c r="D103" s="4">
        <v>73</v>
      </c>
      <c r="E103" s="4">
        <v>72.66</v>
      </c>
      <c r="F103" s="9">
        <v>71.3</v>
      </c>
      <c r="G103" s="109"/>
      <c r="H103" s="1">
        <v>50</v>
      </c>
      <c r="I103" s="4">
        <v>75.430000000000007</v>
      </c>
      <c r="J103" s="4">
        <v>75.489999999999995</v>
      </c>
      <c r="K103" s="9">
        <v>74.59</v>
      </c>
      <c r="L103" s="109"/>
      <c r="M103" s="1">
        <v>50</v>
      </c>
      <c r="N103" s="4">
        <v>76.25</v>
      </c>
      <c r="O103" s="4">
        <v>76.19</v>
      </c>
      <c r="P103" s="9">
        <v>75.34</v>
      </c>
    </row>
    <row r="104" spans="2:16" x14ac:dyDescent="0.2">
      <c r="B104" s="105"/>
      <c r="C104" s="2">
        <v>91</v>
      </c>
      <c r="D104" s="5">
        <v>72.78</v>
      </c>
      <c r="E104" s="5">
        <v>72.58</v>
      </c>
      <c r="F104" s="10">
        <v>70.91</v>
      </c>
      <c r="G104" s="109"/>
      <c r="H104" s="2">
        <v>91</v>
      </c>
      <c r="I104" s="5">
        <v>76</v>
      </c>
      <c r="J104" s="5">
        <v>76.040000000000006</v>
      </c>
      <c r="K104" s="10">
        <v>75.53</v>
      </c>
      <c r="L104" s="109"/>
      <c r="M104" s="2">
        <v>91</v>
      </c>
      <c r="N104" s="5">
        <v>77.739999999999995</v>
      </c>
      <c r="O104" s="5">
        <v>77.39</v>
      </c>
      <c r="P104" s="10">
        <v>77.39</v>
      </c>
    </row>
    <row r="105" spans="2:16" x14ac:dyDescent="0.2">
      <c r="B105" s="106"/>
      <c r="C105" s="6" t="s">
        <v>8</v>
      </c>
      <c r="D105" s="7">
        <f>AVERAGE(D100:D104)</f>
        <v>72.244</v>
      </c>
      <c r="E105" s="7">
        <f t="shared" ref="E105" si="39">AVERAGE(E100:E104)</f>
        <v>72.099999999999994</v>
      </c>
      <c r="F105" s="11">
        <f>AVERAGE(F100:F104)</f>
        <v>70.47999999999999</v>
      </c>
      <c r="G105" s="110"/>
      <c r="H105" s="6" t="s">
        <v>8</v>
      </c>
      <c r="I105" s="7">
        <f>AVERAGE(I100:I104)</f>
        <v>75.650000000000006</v>
      </c>
      <c r="J105" s="7">
        <f t="shared" ref="J105:K105" si="40">AVERAGE(J100:J104)</f>
        <v>75.597999999999999</v>
      </c>
      <c r="K105" s="11">
        <f t="shared" si="40"/>
        <v>74.698000000000008</v>
      </c>
      <c r="L105" s="110"/>
      <c r="M105" s="6" t="s">
        <v>8</v>
      </c>
      <c r="N105" s="7">
        <f>AVERAGE(N100:N104)</f>
        <v>77.347999999999999</v>
      </c>
      <c r="O105" s="7">
        <f t="shared" ref="O105:P105" si="41">AVERAGE(O100:O104)</f>
        <v>77.087999999999994</v>
      </c>
      <c r="P105" s="11">
        <f t="shared" si="41"/>
        <v>76.709999999999994</v>
      </c>
    </row>
    <row r="106" spans="2:16" x14ac:dyDescent="0.2">
      <c r="B106" s="105">
        <v>16</v>
      </c>
      <c r="C106" s="1">
        <v>13</v>
      </c>
      <c r="D106" s="4">
        <v>72.58</v>
      </c>
      <c r="E106" s="4">
        <v>72.25</v>
      </c>
      <c r="F106" s="9">
        <v>71.14</v>
      </c>
      <c r="G106" s="109">
        <v>16</v>
      </c>
      <c r="H106" s="1">
        <v>13</v>
      </c>
      <c r="I106" s="4">
        <v>75.5</v>
      </c>
      <c r="J106" s="4">
        <v>75.28</v>
      </c>
      <c r="K106" s="9">
        <v>76.23</v>
      </c>
      <c r="L106" s="109">
        <v>16</v>
      </c>
      <c r="M106" s="1">
        <v>13</v>
      </c>
      <c r="N106" s="4">
        <v>77.650000000000006</v>
      </c>
      <c r="O106" s="4">
        <v>77.53</v>
      </c>
      <c r="P106" s="9">
        <v>76.63</v>
      </c>
    </row>
    <row r="107" spans="2:16" x14ac:dyDescent="0.2">
      <c r="B107" s="105"/>
      <c r="C107" s="1">
        <v>21</v>
      </c>
      <c r="D107" s="4">
        <v>72.81</v>
      </c>
      <c r="E107" s="4">
        <v>72.44</v>
      </c>
      <c r="F107" s="9">
        <v>71.290000000000006</v>
      </c>
      <c r="G107" s="109"/>
      <c r="H107" s="1">
        <v>21</v>
      </c>
      <c r="I107" s="4">
        <v>75.64</v>
      </c>
      <c r="J107" s="4">
        <v>75.2</v>
      </c>
      <c r="K107" s="9">
        <v>75.42</v>
      </c>
      <c r="L107" s="109"/>
      <c r="M107" s="1">
        <v>21</v>
      </c>
      <c r="N107" s="4">
        <v>77.680000000000007</v>
      </c>
      <c r="O107" s="4">
        <v>77.150000000000006</v>
      </c>
      <c r="P107" s="9">
        <v>77.45</v>
      </c>
    </row>
    <row r="108" spans="2:16" x14ac:dyDescent="0.2">
      <c r="B108" s="105"/>
      <c r="C108" s="1">
        <v>47</v>
      </c>
      <c r="D108" s="4">
        <v>72.64</v>
      </c>
      <c r="E108" s="4">
        <v>72.760000000000005</v>
      </c>
      <c r="F108" s="9">
        <v>70.94</v>
      </c>
      <c r="G108" s="109"/>
      <c r="H108" s="1">
        <v>47</v>
      </c>
      <c r="I108" s="4">
        <v>75.38</v>
      </c>
      <c r="J108" s="4">
        <v>74.88</v>
      </c>
      <c r="K108" s="9">
        <v>74.72</v>
      </c>
      <c r="L108" s="109"/>
      <c r="M108" s="1">
        <v>47</v>
      </c>
      <c r="N108" s="4">
        <v>77.680000000000007</v>
      </c>
      <c r="O108" s="4">
        <v>77.61</v>
      </c>
      <c r="P108" s="9">
        <v>76.62</v>
      </c>
    </row>
    <row r="109" spans="2:16" x14ac:dyDescent="0.2">
      <c r="B109" s="105"/>
      <c r="C109" s="1">
        <v>50</v>
      </c>
      <c r="D109" s="4">
        <v>72.58</v>
      </c>
      <c r="E109" s="4">
        <v>72.5</v>
      </c>
      <c r="F109" s="9">
        <v>70.47</v>
      </c>
      <c r="G109" s="109"/>
      <c r="H109" s="1">
        <v>50</v>
      </c>
      <c r="I109" s="4">
        <v>75.73</v>
      </c>
      <c r="J109" s="4">
        <v>75.36</v>
      </c>
      <c r="K109" s="9">
        <v>75.28</v>
      </c>
      <c r="L109" s="109"/>
      <c r="M109" s="1">
        <v>50</v>
      </c>
      <c r="N109" s="4">
        <v>77.48</v>
      </c>
      <c r="O109" s="4">
        <v>77.2</v>
      </c>
      <c r="P109" s="9">
        <v>76.83</v>
      </c>
    </row>
    <row r="110" spans="2:16" x14ac:dyDescent="0.2">
      <c r="B110" s="105"/>
      <c r="C110" s="2">
        <v>91</v>
      </c>
      <c r="D110" s="5">
        <v>72.81</v>
      </c>
      <c r="E110" s="5">
        <v>72.849999999999994</v>
      </c>
      <c r="F110" s="10">
        <v>71.290000000000006</v>
      </c>
      <c r="G110" s="109"/>
      <c r="H110" s="2">
        <v>91</v>
      </c>
      <c r="I110" s="5">
        <v>75.739999999999995</v>
      </c>
      <c r="J110" s="5">
        <v>75.2</v>
      </c>
      <c r="K110" s="10">
        <v>75.45</v>
      </c>
      <c r="L110" s="109"/>
      <c r="M110" s="2">
        <v>91</v>
      </c>
      <c r="N110" s="5">
        <v>78.05</v>
      </c>
      <c r="O110" s="5">
        <v>77.790000000000006</v>
      </c>
      <c r="P110" s="10">
        <v>76.77</v>
      </c>
    </row>
    <row r="111" spans="2:16" x14ac:dyDescent="0.2">
      <c r="B111" s="106"/>
      <c r="C111" s="6" t="s">
        <v>8</v>
      </c>
      <c r="D111" s="7">
        <f>AVERAGE(D106:D110)</f>
        <v>72.683999999999997</v>
      </c>
      <c r="E111" s="7">
        <f t="shared" ref="E111:F111" si="42">AVERAGE(E106:E110)</f>
        <v>72.559999999999988</v>
      </c>
      <c r="F111" s="11">
        <f t="shared" si="42"/>
        <v>71.02600000000001</v>
      </c>
      <c r="G111" s="110"/>
      <c r="H111" s="6" t="s">
        <v>8</v>
      </c>
      <c r="I111" s="7">
        <f>AVERAGE(I106:I110)</f>
        <v>75.597999999999999</v>
      </c>
      <c r="J111" s="7">
        <f t="shared" ref="J111:K111" si="43">AVERAGE(J106:J110)</f>
        <v>75.183999999999997</v>
      </c>
      <c r="K111" s="11">
        <f t="shared" si="43"/>
        <v>75.419999999999987</v>
      </c>
      <c r="L111" s="110"/>
      <c r="M111" s="6" t="s">
        <v>8</v>
      </c>
      <c r="N111" s="7">
        <f>AVERAGE(N106:N110)</f>
        <v>77.707999999999998</v>
      </c>
      <c r="O111" s="7">
        <f t="shared" ref="O111:P111" si="44">AVERAGE(O106:O110)</f>
        <v>77.456000000000003</v>
      </c>
      <c r="P111" s="11">
        <f t="shared" si="44"/>
        <v>76.859999999999985</v>
      </c>
    </row>
    <row r="112" spans="2:16" x14ac:dyDescent="0.2">
      <c r="B112" s="105">
        <v>32</v>
      </c>
      <c r="C112" s="1">
        <v>13</v>
      </c>
      <c r="D112" s="4">
        <v>72.400000000000006</v>
      </c>
      <c r="E112" s="4">
        <v>72.239999999999995</v>
      </c>
      <c r="F112" s="9">
        <v>71.290000000000006</v>
      </c>
      <c r="G112" s="109">
        <v>32</v>
      </c>
      <c r="H112" s="1">
        <v>13</v>
      </c>
      <c r="I112" s="4">
        <v>74.400000000000006</v>
      </c>
      <c r="J112" s="4">
        <v>73.95</v>
      </c>
      <c r="K112" s="9">
        <v>74.08</v>
      </c>
      <c r="L112" s="109">
        <v>32</v>
      </c>
      <c r="M112" s="1">
        <v>13</v>
      </c>
      <c r="N112" s="4">
        <v>77.2</v>
      </c>
      <c r="O112" s="4">
        <v>76.88</v>
      </c>
      <c r="P112" s="9">
        <v>76.72</v>
      </c>
    </row>
    <row r="113" spans="2:16" x14ac:dyDescent="0.2">
      <c r="B113" s="105"/>
      <c r="C113" s="1">
        <v>21</v>
      </c>
      <c r="D113" s="4">
        <v>72.31</v>
      </c>
      <c r="E113" s="4">
        <v>71.8</v>
      </c>
      <c r="F113" s="9">
        <v>71.7</v>
      </c>
      <c r="G113" s="109"/>
      <c r="H113" s="1">
        <v>21</v>
      </c>
      <c r="I113" s="4">
        <v>74.45</v>
      </c>
      <c r="J113" s="4">
        <v>74.099999999999994</v>
      </c>
      <c r="K113" s="9">
        <v>74.12</v>
      </c>
      <c r="L113" s="109"/>
      <c r="M113" s="1">
        <v>21</v>
      </c>
      <c r="N113" s="4">
        <v>77.25</v>
      </c>
      <c r="O113" s="4">
        <v>77.260000000000005</v>
      </c>
      <c r="P113" s="9">
        <v>76.81</v>
      </c>
    </row>
    <row r="114" spans="2:16" x14ac:dyDescent="0.2">
      <c r="B114" s="105"/>
      <c r="C114" s="1">
        <v>47</v>
      </c>
      <c r="D114" s="4">
        <v>72.400000000000006</v>
      </c>
      <c r="E114" s="4">
        <v>72.180000000000007</v>
      </c>
      <c r="F114" s="9">
        <v>71.61</v>
      </c>
      <c r="G114" s="109"/>
      <c r="H114" s="1">
        <v>47</v>
      </c>
      <c r="I114" s="4">
        <v>74.45</v>
      </c>
      <c r="J114" s="4">
        <v>74.239999999999995</v>
      </c>
      <c r="K114" s="9">
        <v>73.819999999999993</v>
      </c>
      <c r="L114" s="109"/>
      <c r="M114" s="1">
        <v>47</v>
      </c>
      <c r="N114" s="4">
        <v>77.040000000000006</v>
      </c>
      <c r="O114" s="4">
        <v>76.959999999999994</v>
      </c>
      <c r="P114" s="9">
        <v>76.94</v>
      </c>
    </row>
    <row r="115" spans="2:16" x14ac:dyDescent="0.2">
      <c r="B115" s="105"/>
      <c r="C115" s="1">
        <v>50</v>
      </c>
      <c r="D115" s="4">
        <v>72.010000000000005</v>
      </c>
      <c r="E115" s="4">
        <v>71.45</v>
      </c>
      <c r="F115" s="9">
        <v>71.23</v>
      </c>
      <c r="G115" s="109"/>
      <c r="H115" s="1">
        <v>50</v>
      </c>
      <c r="I115" s="4">
        <v>74.599999999999994</v>
      </c>
      <c r="J115" s="4">
        <v>74.05</v>
      </c>
      <c r="K115" s="9">
        <v>74.209999999999994</v>
      </c>
      <c r="L115" s="109"/>
      <c r="M115" s="1">
        <v>50</v>
      </c>
      <c r="N115" s="4">
        <v>77.11</v>
      </c>
      <c r="O115" s="4">
        <v>77.16</v>
      </c>
      <c r="P115" s="9">
        <v>76.650000000000006</v>
      </c>
    </row>
    <row r="116" spans="2:16" x14ac:dyDescent="0.2">
      <c r="B116" s="105"/>
      <c r="C116" s="2">
        <v>91</v>
      </c>
      <c r="D116" s="5">
        <v>72.150000000000006</v>
      </c>
      <c r="E116" s="5">
        <v>71.959999999999994</v>
      </c>
      <c r="F116" s="10">
        <v>70.61</v>
      </c>
      <c r="G116" s="109"/>
      <c r="H116" s="2">
        <v>91</v>
      </c>
      <c r="I116" s="5">
        <v>74.41</v>
      </c>
      <c r="J116" s="5">
        <v>74.36</v>
      </c>
      <c r="K116" s="10">
        <v>73.45</v>
      </c>
      <c r="L116" s="109"/>
      <c r="M116" s="2">
        <v>91</v>
      </c>
      <c r="N116" s="5">
        <v>76.95</v>
      </c>
      <c r="O116" s="5">
        <v>76.81</v>
      </c>
      <c r="P116" s="10">
        <v>76.47</v>
      </c>
    </row>
    <row r="117" spans="2:16" x14ac:dyDescent="0.2">
      <c r="B117" s="106"/>
      <c r="C117" s="6" t="s">
        <v>8</v>
      </c>
      <c r="D117" s="7">
        <f>AVERAGE(D112:D116)</f>
        <v>72.253999999999991</v>
      </c>
      <c r="E117" s="7">
        <f t="shared" ref="E117:F117" si="45">AVERAGE(E112:E116)</f>
        <v>71.926000000000002</v>
      </c>
      <c r="F117" s="11">
        <f t="shared" si="45"/>
        <v>71.288000000000011</v>
      </c>
      <c r="G117" s="110"/>
      <c r="H117" s="6" t="s">
        <v>8</v>
      </c>
      <c r="I117" s="7">
        <f>AVERAGE(I112:I116)</f>
        <v>74.461999999999989</v>
      </c>
      <c r="J117" s="7">
        <f t="shared" ref="J117:K117" si="46">AVERAGE(J112:J116)</f>
        <v>74.140000000000015</v>
      </c>
      <c r="K117" s="11">
        <f t="shared" si="46"/>
        <v>73.935999999999993</v>
      </c>
      <c r="L117" s="110"/>
      <c r="M117" s="6" t="s">
        <v>8</v>
      </c>
      <c r="N117" s="7">
        <f>AVERAGE(N112:N116)</f>
        <v>77.11</v>
      </c>
      <c r="O117" s="7">
        <f t="shared" ref="O117:P117" si="47">AVERAGE(O112:O116)</f>
        <v>77.013999999999996</v>
      </c>
      <c r="P117" s="11">
        <f t="shared" si="47"/>
        <v>76.718000000000004</v>
      </c>
    </row>
    <row r="118" spans="2:16" x14ac:dyDescent="0.2">
      <c r="B118" s="105">
        <v>64</v>
      </c>
      <c r="C118" s="1">
        <v>13</v>
      </c>
      <c r="D118" s="4">
        <v>71.680000000000007</v>
      </c>
      <c r="E118" s="4">
        <v>71.25</v>
      </c>
      <c r="F118" s="9">
        <v>70.59</v>
      </c>
      <c r="G118" s="109">
        <v>64</v>
      </c>
      <c r="H118" s="1">
        <v>13</v>
      </c>
      <c r="I118" s="4">
        <v>73.2</v>
      </c>
      <c r="J118" s="4">
        <v>72.959999999999994</v>
      </c>
      <c r="K118" s="9">
        <v>72.44</v>
      </c>
    </row>
    <row r="119" spans="2:16" x14ac:dyDescent="0.2">
      <c r="B119" s="105"/>
      <c r="C119" s="1">
        <v>21</v>
      </c>
      <c r="D119" s="4">
        <v>71.680000000000007</v>
      </c>
      <c r="E119" s="4">
        <v>71.260000000000005</v>
      </c>
      <c r="F119" s="9">
        <v>71.37</v>
      </c>
      <c r="G119" s="109"/>
      <c r="H119" s="1">
        <v>21</v>
      </c>
      <c r="I119" s="4">
        <v>72.86</v>
      </c>
      <c r="J119" s="4">
        <v>72.61</v>
      </c>
      <c r="K119" s="9">
        <v>71.97</v>
      </c>
    </row>
    <row r="120" spans="2:16" x14ac:dyDescent="0.2">
      <c r="B120" s="105"/>
      <c r="C120" s="1">
        <v>47</v>
      </c>
      <c r="D120" s="4">
        <v>71.400000000000006</v>
      </c>
      <c r="E120" s="4">
        <v>71.650000000000006</v>
      </c>
      <c r="F120" s="9">
        <v>68.55</v>
      </c>
      <c r="G120" s="109"/>
      <c r="H120" s="1">
        <v>47</v>
      </c>
      <c r="I120" s="4">
        <v>73.3</v>
      </c>
      <c r="J120" s="4">
        <v>73.38</v>
      </c>
      <c r="K120" s="9">
        <v>71.48</v>
      </c>
    </row>
    <row r="121" spans="2:16" x14ac:dyDescent="0.2">
      <c r="B121" s="105"/>
      <c r="C121" s="1">
        <v>50</v>
      </c>
      <c r="D121" s="4">
        <v>72.34</v>
      </c>
      <c r="E121" s="4">
        <v>72.099999999999994</v>
      </c>
      <c r="F121" s="9">
        <v>71.069999999999993</v>
      </c>
      <c r="G121" s="109"/>
      <c r="H121" s="1">
        <v>50</v>
      </c>
      <c r="I121" s="4">
        <v>73.150000000000006</v>
      </c>
      <c r="J121" s="4">
        <v>73.010000000000005</v>
      </c>
      <c r="K121" s="9">
        <v>72.05</v>
      </c>
    </row>
    <row r="122" spans="2:16" x14ac:dyDescent="0.2">
      <c r="B122" s="105"/>
      <c r="C122" s="2">
        <v>91</v>
      </c>
      <c r="D122" s="5">
        <v>71.650000000000006</v>
      </c>
      <c r="E122" s="5">
        <v>71.709999999999994</v>
      </c>
      <c r="F122" s="10">
        <v>69.95</v>
      </c>
      <c r="G122" s="109"/>
      <c r="H122" s="2">
        <v>91</v>
      </c>
      <c r="I122" s="5">
        <v>73.260000000000005</v>
      </c>
      <c r="J122" s="5">
        <v>72.91</v>
      </c>
      <c r="K122" s="10">
        <v>72.06</v>
      </c>
    </row>
    <row r="123" spans="2:16" x14ac:dyDescent="0.2">
      <c r="B123" s="106"/>
      <c r="C123" s="6" t="s">
        <v>8</v>
      </c>
      <c r="D123" s="7">
        <f>AVERAGE(D118:D122)</f>
        <v>71.75</v>
      </c>
      <c r="E123" s="7">
        <f t="shared" ref="E123:F123" si="48">AVERAGE(E118:E122)</f>
        <v>71.593999999999994</v>
      </c>
      <c r="F123" s="11">
        <f t="shared" si="48"/>
        <v>70.305999999999997</v>
      </c>
      <c r="G123" s="110"/>
      <c r="H123" s="6" t="s">
        <v>8</v>
      </c>
      <c r="I123" s="7">
        <f>AVERAGE(I118:I122)</f>
        <v>73.153999999999996</v>
      </c>
      <c r="J123" s="7">
        <f t="shared" ref="J123:K123" si="49">AVERAGE(J118:J122)</f>
        <v>72.974000000000004</v>
      </c>
      <c r="K123" s="11">
        <f t="shared" si="49"/>
        <v>72</v>
      </c>
    </row>
    <row r="126" spans="2:16" x14ac:dyDescent="0.2">
      <c r="B126" s="18" t="s">
        <v>20</v>
      </c>
      <c r="C126" s="1"/>
      <c r="D126" s="1" t="s">
        <v>21</v>
      </c>
      <c r="E126" s="1"/>
      <c r="F126" s="1"/>
      <c r="G126" s="1"/>
      <c r="H126" s="1"/>
      <c r="I126" s="1"/>
      <c r="J126" s="1"/>
      <c r="K126" s="1"/>
      <c r="L126" s="1"/>
      <c r="M126" s="1"/>
    </row>
    <row r="127" spans="2:16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6" x14ac:dyDescent="0.2">
      <c r="B128" s="108" t="s">
        <v>0</v>
      </c>
      <c r="C128" s="108"/>
      <c r="D128" s="108"/>
      <c r="E128" s="108"/>
      <c r="F128" s="108" t="s">
        <v>1</v>
      </c>
      <c r="G128" s="108"/>
      <c r="H128" s="108"/>
      <c r="I128" s="108"/>
      <c r="J128" s="108" t="s">
        <v>2</v>
      </c>
      <c r="K128" s="108"/>
      <c r="L128" s="108"/>
      <c r="M128" s="111"/>
    </row>
    <row r="129" spans="2:13" x14ac:dyDescent="0.2">
      <c r="B129" s="3" t="s">
        <v>3</v>
      </c>
      <c r="C129" s="3" t="s">
        <v>4</v>
      </c>
      <c r="D129" s="3" t="s">
        <v>6</v>
      </c>
      <c r="E129" s="12" t="s">
        <v>7</v>
      </c>
      <c r="F129" s="3" t="s">
        <v>3</v>
      </c>
      <c r="G129" s="3" t="s">
        <v>4</v>
      </c>
      <c r="H129" s="3" t="s">
        <v>6</v>
      </c>
      <c r="I129" s="12" t="s">
        <v>7</v>
      </c>
      <c r="J129" s="3" t="s">
        <v>3</v>
      </c>
      <c r="K129" s="3" t="s">
        <v>4</v>
      </c>
      <c r="L129" s="3" t="s">
        <v>6</v>
      </c>
      <c r="M129" s="12" t="s">
        <v>7</v>
      </c>
    </row>
    <row r="130" spans="2:13" x14ac:dyDescent="0.2">
      <c r="B130" s="109">
        <v>8</v>
      </c>
      <c r="C130" s="1">
        <v>13</v>
      </c>
      <c r="D130" s="1">
        <v>72.33</v>
      </c>
      <c r="E130" s="8">
        <v>71.08</v>
      </c>
      <c r="F130" s="109">
        <v>8</v>
      </c>
      <c r="G130" s="1">
        <v>13</v>
      </c>
      <c r="H130" s="1">
        <v>73.03</v>
      </c>
      <c r="I130" s="4">
        <v>72.010000000000005</v>
      </c>
      <c r="J130" s="109">
        <v>8</v>
      </c>
      <c r="K130" s="1">
        <v>13</v>
      </c>
      <c r="L130" s="1">
        <v>73.040000000000006</v>
      </c>
      <c r="M130" s="9">
        <v>73</v>
      </c>
    </row>
    <row r="131" spans="2:13" x14ac:dyDescent="0.2">
      <c r="B131" s="109"/>
      <c r="C131" s="1">
        <v>21</v>
      </c>
      <c r="D131" s="4">
        <v>72.489999999999995</v>
      </c>
      <c r="E131" s="9">
        <v>73.099999999999994</v>
      </c>
      <c r="F131" s="109"/>
      <c r="G131" s="1">
        <v>21</v>
      </c>
      <c r="H131" s="4">
        <v>73.099999999999994</v>
      </c>
      <c r="I131" s="9">
        <v>72.459999999999994</v>
      </c>
      <c r="J131" s="109"/>
      <c r="K131" s="1">
        <v>21</v>
      </c>
      <c r="L131" s="4">
        <v>73.510000000000005</v>
      </c>
      <c r="M131" s="9">
        <v>73.260000000000005</v>
      </c>
    </row>
    <row r="132" spans="2:13" x14ac:dyDescent="0.2">
      <c r="B132" s="109"/>
      <c r="C132" s="1">
        <v>47</v>
      </c>
      <c r="D132" s="4">
        <v>72.38</v>
      </c>
      <c r="E132" s="9">
        <v>72.17</v>
      </c>
      <c r="F132" s="109"/>
      <c r="G132" s="1">
        <v>47</v>
      </c>
      <c r="H132" s="4">
        <v>72.86</v>
      </c>
      <c r="I132" s="9">
        <v>71.849999999999994</v>
      </c>
      <c r="J132" s="109"/>
      <c r="K132" s="1">
        <v>47</v>
      </c>
      <c r="L132" s="4">
        <v>73.33</v>
      </c>
      <c r="M132" s="9">
        <v>71.8</v>
      </c>
    </row>
    <row r="133" spans="2:13" x14ac:dyDescent="0.2">
      <c r="B133" s="109"/>
      <c r="C133" s="1">
        <v>50</v>
      </c>
      <c r="D133" s="4">
        <v>72.64</v>
      </c>
      <c r="E133" s="9">
        <v>71.849999999999994</v>
      </c>
      <c r="F133" s="109"/>
      <c r="G133" s="1">
        <v>50</v>
      </c>
      <c r="H133" s="4">
        <v>72.930000000000007</v>
      </c>
      <c r="I133" s="9">
        <v>73.67</v>
      </c>
      <c r="J133" s="109"/>
      <c r="K133" s="1">
        <v>50</v>
      </c>
      <c r="L133" s="4">
        <v>74.36</v>
      </c>
      <c r="M133" s="9">
        <v>75.680000000000007</v>
      </c>
    </row>
    <row r="134" spans="2:13" x14ac:dyDescent="0.2">
      <c r="B134" s="109"/>
      <c r="C134" s="2">
        <v>91</v>
      </c>
      <c r="D134" s="5">
        <v>71.88</v>
      </c>
      <c r="E134" s="10">
        <v>70.930000000000007</v>
      </c>
      <c r="F134" s="109"/>
      <c r="G134" s="2">
        <v>91</v>
      </c>
      <c r="H134" s="5">
        <v>71.849999999999994</v>
      </c>
      <c r="I134" s="10">
        <v>72.459999999999994</v>
      </c>
      <c r="J134" s="109"/>
      <c r="K134" s="2">
        <v>91</v>
      </c>
      <c r="L134" s="5">
        <v>73.42</v>
      </c>
      <c r="M134" s="10">
        <v>74.599999999999994</v>
      </c>
    </row>
    <row r="135" spans="2:13" x14ac:dyDescent="0.2">
      <c r="B135" s="110"/>
      <c r="C135" s="6" t="s">
        <v>8</v>
      </c>
      <c r="D135" s="7">
        <f>AVERAGE(D130:D134)</f>
        <v>72.343999999999994</v>
      </c>
      <c r="E135" s="11">
        <f>AVERAGE(E130:E134)</f>
        <v>71.826000000000008</v>
      </c>
      <c r="F135" s="110"/>
      <c r="G135" s="6" t="s">
        <v>8</v>
      </c>
      <c r="H135" s="7">
        <f>AVERAGE(H130:H134)</f>
        <v>72.753999999999991</v>
      </c>
      <c r="I135" s="11">
        <f>AVERAGE(I130:I134)</f>
        <v>72.489999999999995</v>
      </c>
      <c r="J135" s="110"/>
      <c r="K135" s="6" t="s">
        <v>8</v>
      </c>
      <c r="L135" s="7">
        <f>AVERAGE(L130:L134)</f>
        <v>73.532000000000011</v>
      </c>
      <c r="M135" s="11">
        <f>AVERAGE(M130:M134)</f>
        <v>73.668000000000006</v>
      </c>
    </row>
    <row r="136" spans="2:13" x14ac:dyDescent="0.2">
      <c r="B136" s="109">
        <v>16</v>
      </c>
      <c r="C136" s="1">
        <v>13</v>
      </c>
      <c r="D136" s="4">
        <v>75.239999999999995</v>
      </c>
      <c r="E136" s="9">
        <v>75.06</v>
      </c>
      <c r="F136" s="109">
        <v>16</v>
      </c>
      <c r="G136" s="1">
        <v>13</v>
      </c>
      <c r="H136" s="4">
        <v>76.89</v>
      </c>
      <c r="I136" s="9">
        <v>76.73</v>
      </c>
      <c r="J136" s="109">
        <v>16</v>
      </c>
      <c r="K136" s="1">
        <v>13</v>
      </c>
      <c r="L136" s="4">
        <v>77.040000000000006</v>
      </c>
      <c r="M136" s="9">
        <v>76.64</v>
      </c>
    </row>
    <row r="137" spans="2:13" x14ac:dyDescent="0.2">
      <c r="B137" s="109"/>
      <c r="C137" s="1">
        <v>21</v>
      </c>
      <c r="D137" s="4">
        <v>75.33</v>
      </c>
      <c r="E137" s="9">
        <v>75.650000000000006</v>
      </c>
      <c r="F137" s="109"/>
      <c r="G137" s="1">
        <v>21</v>
      </c>
      <c r="H137" s="4">
        <v>76.739999999999995</v>
      </c>
      <c r="I137" s="9">
        <v>75.959999999999994</v>
      </c>
      <c r="J137" s="109"/>
      <c r="K137" s="1">
        <v>21</v>
      </c>
      <c r="L137" s="4">
        <v>78.08</v>
      </c>
      <c r="M137" s="9">
        <v>77.98</v>
      </c>
    </row>
    <row r="138" spans="2:13" x14ac:dyDescent="0.2">
      <c r="B138" s="109"/>
      <c r="C138" s="1">
        <v>47</v>
      </c>
      <c r="D138" s="4">
        <v>74.95</v>
      </c>
      <c r="E138" s="9">
        <v>75.31</v>
      </c>
      <c r="F138" s="109"/>
      <c r="G138" s="1">
        <v>47</v>
      </c>
      <c r="H138" s="4">
        <v>77.099999999999994</v>
      </c>
      <c r="I138" s="9">
        <v>76.760000000000005</v>
      </c>
      <c r="J138" s="109"/>
      <c r="K138" s="1">
        <v>47</v>
      </c>
      <c r="L138" s="4">
        <v>77.78</v>
      </c>
      <c r="M138" s="9">
        <v>77.510000000000005</v>
      </c>
    </row>
    <row r="139" spans="2:13" x14ac:dyDescent="0.2">
      <c r="B139" s="109"/>
      <c r="C139" s="1">
        <v>50</v>
      </c>
      <c r="D139" s="4">
        <v>75.12</v>
      </c>
      <c r="E139" s="9">
        <v>74.900000000000006</v>
      </c>
      <c r="F139" s="109"/>
      <c r="G139" s="1">
        <v>50</v>
      </c>
      <c r="H139" s="4">
        <v>77.22</v>
      </c>
      <c r="I139" s="9">
        <v>76.27</v>
      </c>
      <c r="J139" s="109"/>
      <c r="K139" s="1">
        <v>50</v>
      </c>
      <c r="L139" s="4">
        <v>78.099999999999994</v>
      </c>
      <c r="M139" s="9">
        <v>78.63</v>
      </c>
    </row>
    <row r="140" spans="2:13" x14ac:dyDescent="0.2">
      <c r="B140" s="109"/>
      <c r="C140" s="2">
        <v>91</v>
      </c>
      <c r="D140" s="5">
        <v>72.709999999999994</v>
      </c>
      <c r="E140" s="10">
        <v>73.11</v>
      </c>
      <c r="F140" s="109"/>
      <c r="G140" s="2">
        <v>91</v>
      </c>
      <c r="H140" s="5">
        <v>76.77</v>
      </c>
      <c r="I140" s="10">
        <v>76.83</v>
      </c>
      <c r="J140" s="109"/>
      <c r="K140" s="2">
        <v>91</v>
      </c>
      <c r="L140" s="5">
        <v>78.069999999999993</v>
      </c>
      <c r="M140" s="10">
        <v>78.3</v>
      </c>
    </row>
    <row r="141" spans="2:13" x14ac:dyDescent="0.2">
      <c r="B141" s="110"/>
      <c r="C141" s="6" t="s">
        <v>8</v>
      </c>
      <c r="D141" s="7">
        <f>AVERAGE(D136:D140)</f>
        <v>74.669999999999987</v>
      </c>
      <c r="E141" s="11">
        <f t="shared" ref="E141" si="50">AVERAGE(E136:E140)</f>
        <v>74.806000000000012</v>
      </c>
      <c r="F141" s="110"/>
      <c r="G141" s="6" t="s">
        <v>8</v>
      </c>
      <c r="H141" s="7">
        <f>AVERAGE(H136:H140)</f>
        <v>76.943999999999988</v>
      </c>
      <c r="I141" s="11">
        <f t="shared" ref="I141" si="51">AVERAGE(I136:I140)</f>
        <v>76.509999999999991</v>
      </c>
      <c r="J141" s="110"/>
      <c r="K141" s="6" t="s">
        <v>8</v>
      </c>
      <c r="L141" s="7">
        <f>AVERAGE(L136:L140)</f>
        <v>77.813999999999993</v>
      </c>
      <c r="M141" s="11">
        <f t="shared" ref="M141" si="52">AVERAGE(M136:M140)</f>
        <v>77.811999999999998</v>
      </c>
    </row>
    <row r="144" spans="2:13" x14ac:dyDescent="0.2">
      <c r="B144" s="108" t="s">
        <v>15</v>
      </c>
      <c r="C144" s="108"/>
      <c r="D144" s="108"/>
      <c r="E144" s="108"/>
      <c r="F144" s="108" t="s">
        <v>16</v>
      </c>
      <c r="G144" s="108"/>
      <c r="H144" s="108"/>
      <c r="I144" s="108"/>
      <c r="J144" s="108" t="s">
        <v>17</v>
      </c>
      <c r="K144" s="108"/>
      <c r="L144" s="108"/>
      <c r="M144" s="111"/>
    </row>
    <row r="145" spans="1:19" x14ac:dyDescent="0.2">
      <c r="B145" s="3" t="s">
        <v>3</v>
      </c>
      <c r="C145" s="3" t="s">
        <v>4</v>
      </c>
      <c r="D145" s="3" t="s">
        <v>6</v>
      </c>
      <c r="E145" s="12" t="s">
        <v>7</v>
      </c>
      <c r="F145" s="3" t="s">
        <v>3</v>
      </c>
      <c r="G145" s="3" t="s">
        <v>4</v>
      </c>
      <c r="H145" s="3" t="s">
        <v>6</v>
      </c>
      <c r="I145" s="12" t="s">
        <v>7</v>
      </c>
      <c r="J145" s="3" t="s">
        <v>3</v>
      </c>
      <c r="K145" s="3" t="s">
        <v>4</v>
      </c>
      <c r="L145" s="3" t="s">
        <v>6</v>
      </c>
      <c r="M145" s="12" t="s">
        <v>7</v>
      </c>
    </row>
    <row r="146" spans="1:19" x14ac:dyDescent="0.2">
      <c r="B146" s="109">
        <v>8</v>
      </c>
      <c r="C146" s="1">
        <v>13</v>
      </c>
      <c r="D146" s="1">
        <v>72.13</v>
      </c>
      <c r="E146" s="9">
        <v>70.8</v>
      </c>
      <c r="F146" s="109">
        <v>8</v>
      </c>
      <c r="G146" s="1">
        <v>13</v>
      </c>
      <c r="H146" s="1">
        <v>75.08</v>
      </c>
      <c r="I146" s="9">
        <v>73.930000000000007</v>
      </c>
      <c r="J146" s="109">
        <v>8</v>
      </c>
      <c r="K146" s="1">
        <v>13</v>
      </c>
      <c r="L146" s="1">
        <v>77.53</v>
      </c>
      <c r="M146" s="8">
        <v>77.42</v>
      </c>
    </row>
    <row r="147" spans="1:19" x14ac:dyDescent="0.2">
      <c r="B147" s="109"/>
      <c r="C147" s="1">
        <v>21</v>
      </c>
      <c r="D147" s="4">
        <v>71.900000000000006</v>
      </c>
      <c r="E147" s="9">
        <v>70.84</v>
      </c>
      <c r="F147" s="109"/>
      <c r="G147" s="1">
        <v>21</v>
      </c>
      <c r="H147" s="4">
        <v>76.08</v>
      </c>
      <c r="I147" s="9">
        <v>74.56</v>
      </c>
      <c r="J147" s="109"/>
      <c r="K147" s="1">
        <v>21</v>
      </c>
      <c r="L147" s="4">
        <v>77.459999999999994</v>
      </c>
      <c r="M147" s="9">
        <v>77.02</v>
      </c>
    </row>
    <row r="148" spans="1:19" x14ac:dyDescent="0.2">
      <c r="B148" s="109"/>
      <c r="C148" s="1">
        <v>47</v>
      </c>
      <c r="D148" s="4">
        <v>71.58</v>
      </c>
      <c r="E148" s="9">
        <v>70.64</v>
      </c>
      <c r="F148" s="109"/>
      <c r="G148" s="1">
        <v>47</v>
      </c>
      <c r="H148" s="4">
        <v>75.45</v>
      </c>
      <c r="I148" s="9">
        <v>74.290000000000006</v>
      </c>
      <c r="J148" s="109"/>
      <c r="K148" s="1">
        <v>47</v>
      </c>
      <c r="L148" s="4">
        <v>77.44</v>
      </c>
      <c r="M148" s="9">
        <v>77.02</v>
      </c>
    </row>
    <row r="149" spans="1:19" x14ac:dyDescent="0.2">
      <c r="B149" s="109"/>
      <c r="C149" s="1">
        <v>50</v>
      </c>
      <c r="D149" s="4">
        <v>72.900000000000006</v>
      </c>
      <c r="E149" s="9">
        <v>71.98</v>
      </c>
      <c r="F149" s="109"/>
      <c r="G149" s="1">
        <v>50</v>
      </c>
      <c r="H149" s="4">
        <v>75.19</v>
      </c>
      <c r="I149" s="9">
        <v>74.38</v>
      </c>
      <c r="J149" s="109"/>
      <c r="K149" s="1">
        <v>50</v>
      </c>
      <c r="L149" s="4">
        <v>76.3</v>
      </c>
      <c r="M149" s="9">
        <v>75.14</v>
      </c>
    </row>
    <row r="150" spans="1:19" x14ac:dyDescent="0.2">
      <c r="B150" s="109"/>
      <c r="C150" s="2">
        <v>91</v>
      </c>
      <c r="D150" s="5">
        <v>72.510000000000005</v>
      </c>
      <c r="E150" s="10">
        <v>71.3</v>
      </c>
      <c r="F150" s="109"/>
      <c r="G150" s="2">
        <v>91</v>
      </c>
      <c r="H150" s="5">
        <v>76.14</v>
      </c>
      <c r="I150" s="10">
        <v>75.47</v>
      </c>
      <c r="J150" s="109"/>
      <c r="K150" s="2">
        <v>91</v>
      </c>
      <c r="L150" s="5">
        <v>77.459999999999994</v>
      </c>
      <c r="M150" s="10">
        <v>76.34</v>
      </c>
    </row>
    <row r="151" spans="1:19" x14ac:dyDescent="0.2">
      <c r="B151" s="110"/>
      <c r="C151" s="6" t="s">
        <v>8</v>
      </c>
      <c r="D151" s="7">
        <f>AVERAGE(D146:D150)</f>
        <v>72.203999999999994</v>
      </c>
      <c r="E151" s="11">
        <f>AVERAGE(E146:E150)</f>
        <v>71.111999999999995</v>
      </c>
      <c r="F151" s="110"/>
      <c r="G151" s="6" t="s">
        <v>8</v>
      </c>
      <c r="H151" s="7">
        <f>AVERAGE(H146:H150)</f>
        <v>75.587999999999994</v>
      </c>
      <c r="I151" s="11">
        <f>AVERAGE(I146:I150)</f>
        <v>74.525999999999996</v>
      </c>
      <c r="J151" s="110"/>
      <c r="K151" s="6" t="s">
        <v>8</v>
      </c>
      <c r="L151" s="7">
        <f>AVERAGE(L146:L150)</f>
        <v>77.238</v>
      </c>
      <c r="M151" s="11">
        <f>AVERAGE(M146:M150)</f>
        <v>76.587999999999994</v>
      </c>
    </row>
    <row r="152" spans="1:19" x14ac:dyDescent="0.2">
      <c r="B152" s="109">
        <v>16</v>
      </c>
      <c r="C152" s="1">
        <v>13</v>
      </c>
      <c r="D152" s="4">
        <v>72.75</v>
      </c>
      <c r="E152" s="9">
        <v>71.06</v>
      </c>
      <c r="F152" s="109">
        <v>16</v>
      </c>
      <c r="G152" s="1">
        <v>13</v>
      </c>
      <c r="H152" s="4">
        <v>75.73</v>
      </c>
      <c r="I152" s="9">
        <v>74.55</v>
      </c>
      <c r="J152" s="109">
        <v>16</v>
      </c>
      <c r="K152" s="1">
        <v>13</v>
      </c>
      <c r="L152" s="4">
        <v>77.28</v>
      </c>
      <c r="M152" s="9">
        <v>76.25</v>
      </c>
    </row>
    <row r="153" spans="1:19" x14ac:dyDescent="0.2">
      <c r="B153" s="109"/>
      <c r="C153" s="1">
        <v>21</v>
      </c>
      <c r="D153" s="4">
        <v>72.56</v>
      </c>
      <c r="E153" s="9">
        <v>70.3</v>
      </c>
      <c r="F153" s="109"/>
      <c r="G153" s="1">
        <v>21</v>
      </c>
      <c r="H153" s="4">
        <v>75.459999999999994</v>
      </c>
      <c r="I153" s="9">
        <v>74.28</v>
      </c>
      <c r="J153" s="109"/>
      <c r="K153" s="1">
        <v>21</v>
      </c>
      <c r="L153" s="4">
        <v>77.61</v>
      </c>
      <c r="M153" s="9">
        <v>77.540000000000006</v>
      </c>
    </row>
    <row r="154" spans="1:19" x14ac:dyDescent="0.2">
      <c r="B154" s="109"/>
      <c r="C154" s="1">
        <v>47</v>
      </c>
      <c r="D154" s="4">
        <v>72.69</v>
      </c>
      <c r="E154" s="9">
        <v>70.69</v>
      </c>
      <c r="F154" s="109"/>
      <c r="G154" s="1">
        <v>47</v>
      </c>
      <c r="H154" s="4">
        <v>75.45</v>
      </c>
      <c r="I154" s="9">
        <v>74.61</v>
      </c>
      <c r="J154" s="109"/>
      <c r="K154" s="1">
        <v>47</v>
      </c>
      <c r="L154" s="4">
        <v>77.849999999999994</v>
      </c>
      <c r="M154" s="9">
        <v>77.61</v>
      </c>
    </row>
    <row r="155" spans="1:19" x14ac:dyDescent="0.2">
      <c r="B155" s="109"/>
      <c r="C155" s="1">
        <v>50</v>
      </c>
      <c r="D155" s="4">
        <v>72.55</v>
      </c>
      <c r="E155" s="9">
        <v>69.849999999999994</v>
      </c>
      <c r="F155" s="109"/>
      <c r="G155" s="1">
        <v>50</v>
      </c>
      <c r="H155" s="4">
        <v>75.48</v>
      </c>
      <c r="I155" s="9">
        <v>75.83</v>
      </c>
      <c r="J155" s="109"/>
      <c r="K155" s="1">
        <v>50</v>
      </c>
      <c r="L155" s="4">
        <v>77.38</v>
      </c>
      <c r="M155" s="9">
        <v>77.25</v>
      </c>
    </row>
    <row r="156" spans="1:19" x14ac:dyDescent="0.2">
      <c r="B156" s="109"/>
      <c r="C156" s="2">
        <v>91</v>
      </c>
      <c r="D156" s="5">
        <v>72.5</v>
      </c>
      <c r="E156" s="10">
        <v>72.150000000000006</v>
      </c>
      <c r="F156" s="109"/>
      <c r="G156" s="2">
        <v>91</v>
      </c>
      <c r="H156" s="5">
        <v>75.56</v>
      </c>
      <c r="I156" s="10">
        <v>74.83</v>
      </c>
      <c r="J156" s="109"/>
      <c r="K156" s="2">
        <v>91</v>
      </c>
      <c r="L156" s="5">
        <v>77.489999999999995</v>
      </c>
      <c r="M156" s="10">
        <v>76.97</v>
      </c>
    </row>
    <row r="157" spans="1:19" x14ac:dyDescent="0.2">
      <c r="B157" s="110"/>
      <c r="C157" s="6" t="s">
        <v>8</v>
      </c>
      <c r="D157" s="7">
        <f>AVERAGE(D152:D156)</f>
        <v>72.61</v>
      </c>
      <c r="E157" s="11">
        <f t="shared" ref="E157" si="53">AVERAGE(E152:E156)</f>
        <v>70.809999999999988</v>
      </c>
      <c r="F157" s="110"/>
      <c r="G157" s="6" t="s">
        <v>8</v>
      </c>
      <c r="H157" s="7">
        <f>AVERAGE(H152:H156)</f>
        <v>75.536000000000001</v>
      </c>
      <c r="I157" s="11">
        <f t="shared" ref="I157" si="54">AVERAGE(I152:I156)</f>
        <v>74.819999999999993</v>
      </c>
      <c r="J157" s="110"/>
      <c r="K157" s="6" t="s">
        <v>8</v>
      </c>
      <c r="L157" s="7">
        <f>AVERAGE(L152:L156)</f>
        <v>77.522000000000006</v>
      </c>
      <c r="M157" s="11">
        <f t="shared" ref="M157" si="55">AVERAGE(M152:M156)</f>
        <v>77.123999999999995</v>
      </c>
    </row>
    <row r="159" spans="1:19" x14ac:dyDescent="0.2">
      <c r="A159" s="24" t="s">
        <v>22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 spans="1:1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">
      <c r="A161" s="120" t="s">
        <v>23</v>
      </c>
      <c r="B161" s="107" t="s">
        <v>0</v>
      </c>
      <c r="C161" s="108"/>
      <c r="D161" s="108"/>
      <c r="E161" s="108"/>
      <c r="F161" s="108"/>
      <c r="G161" s="111"/>
      <c r="H161" s="107" t="s">
        <v>1</v>
      </c>
      <c r="I161" s="108"/>
      <c r="J161" s="108"/>
      <c r="K161" s="108"/>
      <c r="L161" s="108"/>
      <c r="M161" s="111"/>
      <c r="N161" s="107" t="s">
        <v>2</v>
      </c>
      <c r="O161" s="108"/>
      <c r="P161" s="108"/>
      <c r="Q161" s="108"/>
      <c r="R161" s="108"/>
      <c r="S161" s="111"/>
    </row>
    <row r="162" spans="1:19" x14ac:dyDescent="0.2">
      <c r="A162" s="121"/>
      <c r="B162" s="19" t="s">
        <v>3</v>
      </c>
      <c r="C162" s="1" t="s">
        <v>4</v>
      </c>
      <c r="D162" s="1" t="s">
        <v>6</v>
      </c>
      <c r="E162" s="2" t="s">
        <v>7</v>
      </c>
      <c r="F162" s="1" t="s">
        <v>24</v>
      </c>
      <c r="G162" s="8" t="s">
        <v>25</v>
      </c>
      <c r="H162" s="19" t="s">
        <v>3</v>
      </c>
      <c r="I162" s="1" t="s">
        <v>4</v>
      </c>
      <c r="J162" s="1" t="s">
        <v>6</v>
      </c>
      <c r="K162" s="2" t="s">
        <v>7</v>
      </c>
      <c r="L162" s="1" t="s">
        <v>24</v>
      </c>
      <c r="M162" s="8" t="s">
        <v>25</v>
      </c>
      <c r="N162" s="19" t="s">
        <v>3</v>
      </c>
      <c r="O162" s="1" t="s">
        <v>4</v>
      </c>
      <c r="P162" s="1" t="s">
        <v>6</v>
      </c>
      <c r="Q162" s="2" t="s">
        <v>7</v>
      </c>
      <c r="R162" s="1" t="s">
        <v>24</v>
      </c>
      <c r="S162" s="8" t="s">
        <v>25</v>
      </c>
    </row>
    <row r="163" spans="1:19" x14ac:dyDescent="0.2">
      <c r="A163" s="122">
        <v>1</v>
      </c>
      <c r="B163" s="104">
        <v>8</v>
      </c>
      <c r="C163" s="28">
        <v>13</v>
      </c>
      <c r="D163" s="25">
        <v>72.33</v>
      </c>
      <c r="E163" s="1">
        <v>71.08</v>
      </c>
      <c r="F163" s="25">
        <v>1460</v>
      </c>
      <c r="G163" s="36">
        <v>0.47099999999999997</v>
      </c>
      <c r="H163" s="104">
        <v>8</v>
      </c>
      <c r="I163" s="28">
        <v>13</v>
      </c>
      <c r="J163" s="25">
        <v>73.03</v>
      </c>
      <c r="K163" s="1">
        <v>72.010000000000005</v>
      </c>
      <c r="L163" s="25">
        <v>1391</v>
      </c>
      <c r="M163" s="36">
        <v>0.47799999999999998</v>
      </c>
      <c r="N163" s="104">
        <v>8</v>
      </c>
      <c r="O163" s="28">
        <v>13</v>
      </c>
      <c r="P163" s="25">
        <v>73.040000000000006</v>
      </c>
      <c r="Q163" s="4">
        <v>73</v>
      </c>
      <c r="R163" s="25">
        <v>1216</v>
      </c>
      <c r="S163" s="36">
        <v>0.51300000000000001</v>
      </c>
    </row>
    <row r="164" spans="1:19" x14ac:dyDescent="0.2">
      <c r="A164" s="123"/>
      <c r="B164" s="105"/>
      <c r="C164" s="29">
        <v>21</v>
      </c>
      <c r="D164" s="4">
        <v>72.489999999999995</v>
      </c>
      <c r="E164" s="4">
        <v>73.099999999999994</v>
      </c>
      <c r="F164" s="1">
        <v>1124</v>
      </c>
      <c r="G164" s="8">
        <v>0.53600000000000003</v>
      </c>
      <c r="H164" s="105"/>
      <c r="I164" s="29">
        <v>21</v>
      </c>
      <c r="J164" s="4">
        <v>73.09</v>
      </c>
      <c r="K164" s="4">
        <v>72.45</v>
      </c>
      <c r="L164" s="1">
        <v>1322</v>
      </c>
      <c r="M164" s="8">
        <v>0.49099999999999999</v>
      </c>
      <c r="N164" s="105"/>
      <c r="O164" s="29">
        <v>21</v>
      </c>
      <c r="P164" s="4">
        <v>73.510000000000005</v>
      </c>
      <c r="Q164" s="4">
        <v>73.260000000000005</v>
      </c>
      <c r="R164" s="1">
        <v>1232</v>
      </c>
      <c r="S164" s="8">
        <v>0.505</v>
      </c>
    </row>
    <row r="165" spans="1:19" x14ac:dyDescent="0.2">
      <c r="A165" s="123"/>
      <c r="B165" s="105"/>
      <c r="C165" s="29">
        <v>47</v>
      </c>
      <c r="D165" s="4">
        <v>72.38</v>
      </c>
      <c r="E165" s="4">
        <v>72.16</v>
      </c>
      <c r="F165" s="1">
        <v>1281</v>
      </c>
      <c r="G165" s="8">
        <v>0.50600000000000001</v>
      </c>
      <c r="H165" s="105"/>
      <c r="I165" s="29">
        <v>47</v>
      </c>
      <c r="J165" s="4">
        <v>72.86</v>
      </c>
      <c r="K165" s="4">
        <v>71.849999999999994</v>
      </c>
      <c r="L165" s="1">
        <v>1397</v>
      </c>
      <c r="M165" s="8">
        <v>0.47799999999999998</v>
      </c>
      <c r="N165" s="105"/>
      <c r="O165" s="29">
        <v>47</v>
      </c>
      <c r="P165" s="4">
        <v>73.33</v>
      </c>
      <c r="Q165" s="4">
        <v>71.8</v>
      </c>
      <c r="R165" s="1">
        <v>1465</v>
      </c>
      <c r="S165" s="33">
        <v>0.46</v>
      </c>
    </row>
    <row r="166" spans="1:19" x14ac:dyDescent="0.2">
      <c r="A166" s="123"/>
      <c r="B166" s="105"/>
      <c r="C166" s="29">
        <v>50</v>
      </c>
      <c r="D166" s="4">
        <v>72.64</v>
      </c>
      <c r="E166" s="4">
        <v>71.849999999999994</v>
      </c>
      <c r="F166" s="1">
        <v>1369</v>
      </c>
      <c r="G166" s="8">
        <v>0.48599999999999999</v>
      </c>
      <c r="H166" s="105"/>
      <c r="I166" s="29">
        <v>50</v>
      </c>
      <c r="J166" s="4">
        <v>72.930000000000007</v>
      </c>
      <c r="K166" s="4">
        <v>73.67</v>
      </c>
      <c r="L166" s="1">
        <v>1073</v>
      </c>
      <c r="M166" s="8">
        <v>0.54200000000000004</v>
      </c>
      <c r="N166" s="105"/>
      <c r="O166" s="29">
        <v>50</v>
      </c>
      <c r="P166" s="4">
        <v>74.349999999999994</v>
      </c>
      <c r="Q166" s="4">
        <v>75.67</v>
      </c>
      <c r="R166" s="1">
        <v>872</v>
      </c>
      <c r="S166" s="8">
        <v>0.56799999999999995</v>
      </c>
    </row>
    <row r="167" spans="1:19" x14ac:dyDescent="0.2">
      <c r="A167" s="123"/>
      <c r="B167" s="105"/>
      <c r="C167" s="30">
        <v>91</v>
      </c>
      <c r="D167" s="27">
        <v>71.87</v>
      </c>
      <c r="E167" s="27">
        <v>70.92</v>
      </c>
      <c r="F167" s="26">
        <v>1431</v>
      </c>
      <c r="G167" s="32">
        <v>0.48099999999999998</v>
      </c>
      <c r="H167" s="105"/>
      <c r="I167" s="30">
        <v>91</v>
      </c>
      <c r="J167" s="27">
        <v>71.849999999999994</v>
      </c>
      <c r="K167" s="27">
        <v>72.459999999999994</v>
      </c>
      <c r="L167" s="26">
        <v>1158</v>
      </c>
      <c r="M167" s="32">
        <v>0.63500000000000001</v>
      </c>
      <c r="N167" s="105"/>
      <c r="O167" s="30">
        <v>91</v>
      </c>
      <c r="P167" s="27">
        <v>73.42</v>
      </c>
      <c r="Q167" s="27">
        <v>74.599999999999994</v>
      </c>
      <c r="R167" s="26">
        <v>957</v>
      </c>
      <c r="S167" s="32">
        <v>0.56100000000000005</v>
      </c>
    </row>
    <row r="168" spans="1:19" x14ac:dyDescent="0.2">
      <c r="A168" s="121"/>
      <c r="B168" s="105"/>
      <c r="C168" s="6" t="s">
        <v>8</v>
      </c>
      <c r="D168" s="7">
        <f>AVERAGE(D163:D167)</f>
        <v>72.341999999999999</v>
      </c>
      <c r="E168" s="7">
        <f>AVERAGE(E163:E167)</f>
        <v>71.822000000000003</v>
      </c>
      <c r="F168" s="35">
        <f t="shared" ref="F168:G168" si="56">AVERAGE(F163:F167)</f>
        <v>1333</v>
      </c>
      <c r="G168" s="34">
        <f t="shared" si="56"/>
        <v>0.496</v>
      </c>
      <c r="H168" s="105"/>
      <c r="I168" s="6" t="s">
        <v>8</v>
      </c>
      <c r="J168" s="7">
        <f>AVERAGE(J163:J167)</f>
        <v>72.751999999999995</v>
      </c>
      <c r="K168" s="7">
        <f>AVERAGE(K163:K167)</f>
        <v>72.488</v>
      </c>
      <c r="L168" s="35">
        <f>AVERAGE(L163:L167)</f>
        <v>1268.2</v>
      </c>
      <c r="M168" s="34">
        <f>AVERAGE(M163:M167)</f>
        <v>0.52480000000000004</v>
      </c>
      <c r="N168" s="105"/>
      <c r="O168" s="6" t="s">
        <v>8</v>
      </c>
      <c r="P168" s="7">
        <f>AVERAGE(P163:P167)</f>
        <v>73.53</v>
      </c>
      <c r="Q168" s="7">
        <f>AVERAGE(Q163:Q167)</f>
        <v>73.666000000000011</v>
      </c>
      <c r="R168" s="35">
        <f>AVERAGE(R163:R167)</f>
        <v>1148.4000000000001</v>
      </c>
      <c r="S168" s="34">
        <f>AVERAGE(S163:S167)</f>
        <v>0.52139999999999997</v>
      </c>
    </row>
    <row r="169" spans="1:19" x14ac:dyDescent="0.2">
      <c r="A169" s="119">
        <v>1.2</v>
      </c>
      <c r="B169" s="105"/>
      <c r="C169" s="28">
        <v>13</v>
      </c>
      <c r="D169" s="25">
        <v>71.78</v>
      </c>
      <c r="E169" s="25">
        <v>72.510000000000005</v>
      </c>
      <c r="F169" s="25">
        <v>1139</v>
      </c>
      <c r="G169" s="31">
        <v>0.54100000000000004</v>
      </c>
      <c r="H169" s="105"/>
      <c r="I169" s="28">
        <v>13</v>
      </c>
      <c r="J169" s="25">
        <v>71.72</v>
      </c>
      <c r="K169" s="25">
        <v>72.59</v>
      </c>
      <c r="L169" s="25">
        <v>1117</v>
      </c>
      <c r="M169" s="31">
        <v>0.54600000000000004</v>
      </c>
      <c r="N169" s="105"/>
      <c r="O169" s="28">
        <v>13</v>
      </c>
      <c r="P169" s="25">
        <v>75.319999999999993</v>
      </c>
      <c r="Q169" s="25">
        <v>76.14</v>
      </c>
      <c r="R169" s="25">
        <v>923</v>
      </c>
      <c r="S169" s="31">
        <v>0.54800000000000004</v>
      </c>
    </row>
    <row r="170" spans="1:19" x14ac:dyDescent="0.2">
      <c r="A170" s="109"/>
      <c r="B170" s="105"/>
      <c r="C170" s="29">
        <v>21</v>
      </c>
      <c r="D170" s="4">
        <v>71.95</v>
      </c>
      <c r="E170" s="4">
        <v>72.16</v>
      </c>
      <c r="F170" s="1">
        <v>1225</v>
      </c>
      <c r="G170" s="33">
        <v>0.52200000000000002</v>
      </c>
      <c r="H170" s="105"/>
      <c r="I170" s="29">
        <v>21</v>
      </c>
      <c r="J170" s="4">
        <v>72.34</v>
      </c>
      <c r="K170" s="4">
        <v>72.849999999999994</v>
      </c>
      <c r="L170" s="1">
        <v>1151</v>
      </c>
      <c r="M170" s="33">
        <v>0.53300000000000003</v>
      </c>
      <c r="N170" s="105"/>
      <c r="O170" s="29">
        <v>21</v>
      </c>
      <c r="P170" s="4">
        <v>74.67</v>
      </c>
      <c r="Q170" s="4">
        <v>75.53</v>
      </c>
      <c r="R170" s="1">
        <v>952</v>
      </c>
      <c r="S170" s="33">
        <v>0.54900000000000004</v>
      </c>
    </row>
    <row r="171" spans="1:19" x14ac:dyDescent="0.2">
      <c r="A171" s="109"/>
      <c r="B171" s="105"/>
      <c r="C171" s="29">
        <v>47</v>
      </c>
      <c r="D171" s="4">
        <v>71.84</v>
      </c>
      <c r="E171" s="4">
        <v>72.87</v>
      </c>
      <c r="F171" s="1">
        <v>1079</v>
      </c>
      <c r="G171" s="8">
        <v>0.55200000000000005</v>
      </c>
      <c r="H171" s="105"/>
      <c r="I171" s="29">
        <v>47</v>
      </c>
      <c r="J171" s="4">
        <v>74.44</v>
      </c>
      <c r="K171" s="4">
        <v>73.62</v>
      </c>
      <c r="L171" s="1">
        <v>1295</v>
      </c>
      <c r="M171" s="8">
        <v>0.48299999999999998</v>
      </c>
      <c r="N171" s="105"/>
      <c r="O171" s="29">
        <v>47</v>
      </c>
      <c r="P171" s="4">
        <v>73.59</v>
      </c>
      <c r="Q171" s="4">
        <v>74.959999999999994</v>
      </c>
      <c r="R171" s="1">
        <v>907</v>
      </c>
      <c r="S171" s="8">
        <v>0.56899999999999995</v>
      </c>
    </row>
    <row r="172" spans="1:19" x14ac:dyDescent="0.2">
      <c r="A172" s="109"/>
      <c r="B172" s="105"/>
      <c r="C172" s="29">
        <v>50</v>
      </c>
      <c r="D172" s="4">
        <v>70.98</v>
      </c>
      <c r="E172" s="4">
        <v>71.45</v>
      </c>
      <c r="F172" s="1">
        <v>1229</v>
      </c>
      <c r="G172" s="8">
        <v>0.53100000000000003</v>
      </c>
      <c r="H172" s="105"/>
      <c r="I172" s="29">
        <v>50</v>
      </c>
      <c r="J172" s="4">
        <v>73.62</v>
      </c>
      <c r="K172" s="4">
        <v>73.5</v>
      </c>
      <c r="L172" s="1">
        <v>1203</v>
      </c>
      <c r="M172" s="8">
        <v>0.50900000000000001</v>
      </c>
      <c r="N172" s="105"/>
      <c r="O172" s="29">
        <v>50</v>
      </c>
      <c r="P172" s="4">
        <v>70.72</v>
      </c>
      <c r="Q172" s="4">
        <v>71.66</v>
      </c>
      <c r="R172" s="1">
        <v>1159</v>
      </c>
      <c r="S172" s="8">
        <v>0.54700000000000004</v>
      </c>
    </row>
    <row r="173" spans="1:19" x14ac:dyDescent="0.2">
      <c r="A173" s="109"/>
      <c r="B173" s="105"/>
      <c r="C173" s="30">
        <v>91</v>
      </c>
      <c r="D173" s="27">
        <v>69.849999999999994</v>
      </c>
      <c r="E173" s="27">
        <v>68.25</v>
      </c>
      <c r="F173" s="26">
        <v>1620</v>
      </c>
      <c r="G173" s="32">
        <v>0.46400000000000002</v>
      </c>
      <c r="H173" s="105"/>
      <c r="I173" s="30">
        <v>91</v>
      </c>
      <c r="J173" s="27">
        <v>71.709999999999994</v>
      </c>
      <c r="K173" s="27">
        <v>71.36</v>
      </c>
      <c r="L173" s="26">
        <v>1336</v>
      </c>
      <c r="M173" s="32">
        <v>0.502</v>
      </c>
      <c r="N173" s="105"/>
      <c r="O173" s="30">
        <v>91</v>
      </c>
      <c r="P173" s="27">
        <v>72.22</v>
      </c>
      <c r="Q173" s="27">
        <v>73.319999999999993</v>
      </c>
      <c r="R173" s="26">
        <v>1044</v>
      </c>
      <c r="S173" s="32">
        <v>0.55500000000000005</v>
      </c>
    </row>
    <row r="174" spans="1:19" x14ac:dyDescent="0.2">
      <c r="A174" s="110"/>
      <c r="B174" s="105"/>
      <c r="C174" s="6" t="s">
        <v>8</v>
      </c>
      <c r="D174" s="7">
        <f>AVERAGE(D169:D173)</f>
        <v>71.28</v>
      </c>
      <c r="E174" s="7">
        <f>AVERAGE(E169:E173)</f>
        <v>71.448000000000008</v>
      </c>
      <c r="F174" s="35">
        <f t="shared" ref="F174:G174" si="57">AVERAGE(F169:F173)</f>
        <v>1258.4000000000001</v>
      </c>
      <c r="G174" s="34">
        <f t="shared" si="57"/>
        <v>0.52200000000000002</v>
      </c>
      <c r="H174" s="105"/>
      <c r="I174" s="6" t="s">
        <v>8</v>
      </c>
      <c r="J174" s="7">
        <f>AVERAGE(J169:J173)</f>
        <v>72.765999999999991</v>
      </c>
      <c r="K174" s="7">
        <f>AVERAGE(K169:K173)</f>
        <v>72.784000000000006</v>
      </c>
      <c r="L174" s="35">
        <f>AVERAGE(L169:L173)</f>
        <v>1220.4000000000001</v>
      </c>
      <c r="M174" s="34">
        <f>AVERAGE(M169:M173)</f>
        <v>0.51460000000000006</v>
      </c>
      <c r="N174" s="105"/>
      <c r="O174" s="6" t="s">
        <v>8</v>
      </c>
      <c r="P174" s="7">
        <f>AVERAGE(P169:P173)</f>
        <v>73.304000000000002</v>
      </c>
      <c r="Q174" s="7">
        <f>AVERAGE(Q169:Q173)</f>
        <v>74.321999999999989</v>
      </c>
      <c r="R174" s="35">
        <f>AVERAGE(R169:R173)</f>
        <v>997</v>
      </c>
      <c r="S174" s="34">
        <f>AVERAGE(S169:S173)</f>
        <v>0.55360000000000009</v>
      </c>
    </row>
    <row r="175" spans="1:19" x14ac:dyDescent="0.2">
      <c r="A175" s="119">
        <v>1.4</v>
      </c>
      <c r="B175" s="105"/>
      <c r="C175" s="28">
        <v>13</v>
      </c>
      <c r="D175" s="25">
        <v>71.22</v>
      </c>
      <c r="E175" s="25">
        <v>72.290000000000006</v>
      </c>
      <c r="F175" s="25">
        <v>1106</v>
      </c>
      <c r="G175" s="31">
        <v>0.55300000000000005</v>
      </c>
      <c r="H175" s="105"/>
      <c r="I175" s="28">
        <v>13</v>
      </c>
      <c r="J175" s="25">
        <v>72.69</v>
      </c>
      <c r="K175" s="25">
        <v>75.05</v>
      </c>
      <c r="L175" s="25">
        <v>753</v>
      </c>
      <c r="M175" s="31">
        <v>0.60899999999999999</v>
      </c>
      <c r="N175" s="105"/>
      <c r="O175" s="28">
        <v>13</v>
      </c>
      <c r="P175" s="25">
        <v>72.42</v>
      </c>
      <c r="Q175" s="25">
        <v>73.55</v>
      </c>
      <c r="R175" s="25">
        <v>1026</v>
      </c>
      <c r="S175" s="31">
        <v>0.55700000000000005</v>
      </c>
    </row>
    <row r="176" spans="1:19" x14ac:dyDescent="0.2">
      <c r="A176" s="109"/>
      <c r="B176" s="105"/>
      <c r="C176" s="29">
        <v>21</v>
      </c>
      <c r="D176" s="4">
        <v>70.98</v>
      </c>
      <c r="E176" s="4">
        <v>73.95</v>
      </c>
      <c r="F176" s="1">
        <v>743</v>
      </c>
      <c r="G176" s="33">
        <v>0.628</v>
      </c>
      <c r="H176" s="105"/>
      <c r="I176" s="29">
        <v>21</v>
      </c>
      <c r="J176" s="4">
        <v>70.58</v>
      </c>
      <c r="K176" s="4">
        <v>72.400000000000006</v>
      </c>
      <c r="L176" s="1">
        <v>1002</v>
      </c>
      <c r="M176" s="33">
        <v>0.57999999999999996</v>
      </c>
      <c r="N176" s="105"/>
      <c r="O176" s="29">
        <v>21</v>
      </c>
      <c r="P176" s="4">
        <v>73.08</v>
      </c>
      <c r="Q176" s="4">
        <v>74.400000000000006</v>
      </c>
      <c r="R176" s="1">
        <v>950</v>
      </c>
      <c r="S176" s="33">
        <v>0.56499999999999995</v>
      </c>
    </row>
    <row r="177" spans="1:19" x14ac:dyDescent="0.2">
      <c r="A177" s="109"/>
      <c r="B177" s="105"/>
      <c r="C177" s="29">
        <v>47</v>
      </c>
      <c r="D177" s="4">
        <v>68.349999999999994</v>
      </c>
      <c r="E177" s="4">
        <v>73.86</v>
      </c>
      <c r="F177" s="1">
        <v>390</v>
      </c>
      <c r="G177" s="8">
        <v>0.72499999999999998</v>
      </c>
      <c r="H177" s="105"/>
      <c r="I177" s="29">
        <v>47</v>
      </c>
      <c r="J177" s="4">
        <v>74.7</v>
      </c>
      <c r="K177" s="4">
        <v>74.86</v>
      </c>
      <c r="L177" s="1">
        <v>1095</v>
      </c>
      <c r="M177" s="8">
        <v>0.52</v>
      </c>
      <c r="N177" s="105"/>
      <c r="O177" s="29">
        <v>47</v>
      </c>
      <c r="P177" s="4">
        <v>75.02</v>
      </c>
      <c r="Q177" s="4">
        <v>76.739999999999995</v>
      </c>
      <c r="R177" s="1">
        <v>740</v>
      </c>
      <c r="S177" s="8">
        <v>0.58799999999999997</v>
      </c>
    </row>
    <row r="178" spans="1:19" x14ac:dyDescent="0.2">
      <c r="A178" s="109"/>
      <c r="B178" s="105"/>
      <c r="C178" s="29">
        <v>50</v>
      </c>
      <c r="D178" s="4">
        <v>68.02</v>
      </c>
      <c r="E178" s="4">
        <v>73.69</v>
      </c>
      <c r="F178" s="1">
        <v>382</v>
      </c>
      <c r="G178" s="33">
        <v>0.73</v>
      </c>
      <c r="H178" s="105"/>
      <c r="I178" s="29">
        <v>50</v>
      </c>
      <c r="J178" s="4">
        <v>72.34</v>
      </c>
      <c r="K178" s="4">
        <v>72.069999999999993</v>
      </c>
      <c r="L178" s="1">
        <v>1293</v>
      </c>
      <c r="M178" s="8">
        <v>0.504</v>
      </c>
      <c r="N178" s="105"/>
      <c r="O178" s="29">
        <v>50</v>
      </c>
      <c r="P178" s="4">
        <v>77.599999999999994</v>
      </c>
      <c r="Q178" s="4">
        <v>79.02</v>
      </c>
      <c r="R178" s="1">
        <v>643</v>
      </c>
      <c r="S178" s="8">
        <v>0.58199999999999996</v>
      </c>
    </row>
    <row r="179" spans="1:19" x14ac:dyDescent="0.2">
      <c r="A179" s="109"/>
      <c r="B179" s="105"/>
      <c r="C179" s="30">
        <v>91</v>
      </c>
      <c r="D179" s="27">
        <v>69.290000000000006</v>
      </c>
      <c r="E179" s="27">
        <v>73.47</v>
      </c>
      <c r="F179" s="26">
        <v>609</v>
      </c>
      <c r="G179" s="32">
        <v>0.67100000000000004</v>
      </c>
      <c r="H179" s="105"/>
      <c r="I179" s="30">
        <v>91</v>
      </c>
      <c r="J179" s="27">
        <v>71.739999999999995</v>
      </c>
      <c r="K179" s="27">
        <v>71.849999999999994</v>
      </c>
      <c r="L179" s="26">
        <v>1254</v>
      </c>
      <c r="M179" s="32">
        <v>0.51800000000000002</v>
      </c>
      <c r="N179" s="105"/>
      <c r="O179" s="30">
        <v>91</v>
      </c>
      <c r="P179" s="27">
        <v>75.510000000000005</v>
      </c>
      <c r="Q179" s="27">
        <v>77.930000000000007</v>
      </c>
      <c r="R179" s="26">
        <v>538</v>
      </c>
      <c r="S179" s="32">
        <v>0.623</v>
      </c>
    </row>
    <row r="180" spans="1:19" x14ac:dyDescent="0.2">
      <c r="A180" s="110"/>
      <c r="B180" s="105"/>
      <c r="C180" s="6" t="s">
        <v>8</v>
      </c>
      <c r="D180" s="7">
        <f>AVERAGE(D175:D179)</f>
        <v>69.572000000000003</v>
      </c>
      <c r="E180" s="7">
        <f>AVERAGE(E175:E179)</f>
        <v>73.451999999999998</v>
      </c>
      <c r="F180" s="35">
        <f t="shared" ref="F180:G180" si="58">AVERAGE(F175:F179)</f>
        <v>646</v>
      </c>
      <c r="G180" s="34">
        <f t="shared" si="58"/>
        <v>0.6614000000000001</v>
      </c>
      <c r="H180" s="105"/>
      <c r="I180" s="6" t="s">
        <v>8</v>
      </c>
      <c r="J180" s="7">
        <f>AVERAGE(J175:J179)</f>
        <v>72.41</v>
      </c>
      <c r="K180" s="7">
        <f>AVERAGE(K175:K179)</f>
        <v>73.246000000000009</v>
      </c>
      <c r="L180" s="35">
        <f>AVERAGE(L175:L179)</f>
        <v>1079.4000000000001</v>
      </c>
      <c r="M180" s="34">
        <f>AVERAGE(M175:M179)</f>
        <v>0.54620000000000002</v>
      </c>
      <c r="N180" s="105"/>
      <c r="O180" s="6" t="s">
        <v>8</v>
      </c>
      <c r="P180" s="7">
        <f>AVERAGE(P175:P179)</f>
        <v>74.725999999999999</v>
      </c>
      <c r="Q180" s="7">
        <f>AVERAGE(Q175:Q179)</f>
        <v>76.328000000000003</v>
      </c>
      <c r="R180" s="35">
        <f>AVERAGE(R175:R179)</f>
        <v>779.4</v>
      </c>
      <c r="S180" s="34">
        <f>AVERAGE(S175:S179)</f>
        <v>0.58299999999999996</v>
      </c>
    </row>
    <row r="181" spans="1:19" x14ac:dyDescent="0.2">
      <c r="A181" s="119">
        <v>1.6</v>
      </c>
      <c r="B181" s="105"/>
      <c r="C181" s="28">
        <v>13</v>
      </c>
      <c r="D181" s="25">
        <v>66.540000000000006</v>
      </c>
      <c r="E181" s="25">
        <v>72.989999999999995</v>
      </c>
      <c r="F181" s="37">
        <v>340</v>
      </c>
      <c r="G181" s="31">
        <v>0.753</v>
      </c>
      <c r="H181" s="105"/>
      <c r="I181" s="28">
        <v>13</v>
      </c>
      <c r="J181" s="25">
        <v>71.290000000000006</v>
      </c>
      <c r="K181" s="25">
        <v>73.67</v>
      </c>
      <c r="L181" s="37">
        <v>844</v>
      </c>
      <c r="M181" s="31">
        <v>0.60399999999999998</v>
      </c>
      <c r="N181" s="105"/>
      <c r="O181" s="28">
        <v>13</v>
      </c>
      <c r="P181" s="25">
        <v>71.760000000000005</v>
      </c>
      <c r="Q181" s="25">
        <v>73.459999999999994</v>
      </c>
      <c r="R181" s="37">
        <v>952</v>
      </c>
      <c r="S181" s="31">
        <v>0.57799999999999996</v>
      </c>
    </row>
    <row r="182" spans="1:19" x14ac:dyDescent="0.2">
      <c r="A182" s="109"/>
      <c r="B182" s="105"/>
      <c r="C182" s="29">
        <v>21</v>
      </c>
      <c r="D182" s="4">
        <v>61.3</v>
      </c>
      <c r="E182" s="4">
        <v>71.05</v>
      </c>
      <c r="F182" s="1">
        <v>111</v>
      </c>
      <c r="G182" s="33">
        <v>0.85099999999999998</v>
      </c>
      <c r="H182" s="105"/>
      <c r="I182" s="29">
        <v>21</v>
      </c>
      <c r="J182" s="4">
        <v>70.400000000000006</v>
      </c>
      <c r="K182" s="4">
        <v>74.52</v>
      </c>
      <c r="L182" s="1">
        <v>532</v>
      </c>
      <c r="M182" s="33">
        <v>0.67600000000000005</v>
      </c>
      <c r="N182" s="105"/>
      <c r="O182" s="29">
        <v>21</v>
      </c>
      <c r="P182" s="4">
        <v>73.260000000000005</v>
      </c>
      <c r="Q182" s="4">
        <v>76.400000000000006</v>
      </c>
      <c r="R182" s="1">
        <v>532</v>
      </c>
      <c r="S182" s="33">
        <v>0.64700000000000002</v>
      </c>
    </row>
    <row r="183" spans="1:19" x14ac:dyDescent="0.2">
      <c r="A183" s="109"/>
      <c r="B183" s="105"/>
      <c r="C183" s="29">
        <v>47</v>
      </c>
      <c r="D183" s="4">
        <v>63.8</v>
      </c>
      <c r="E183" s="4">
        <v>72.34</v>
      </c>
      <c r="F183" s="1">
        <v>128</v>
      </c>
      <c r="G183" s="8">
        <v>0.82299999999999995</v>
      </c>
      <c r="H183" s="105"/>
      <c r="I183" s="29">
        <v>47</v>
      </c>
      <c r="J183" s="4">
        <v>69.290000000000006</v>
      </c>
      <c r="K183" s="4">
        <v>73.989999999999995</v>
      </c>
      <c r="L183" s="1">
        <v>492</v>
      </c>
      <c r="M183" s="8">
        <v>0.69499999999999995</v>
      </c>
      <c r="N183" s="105"/>
      <c r="O183" s="29">
        <v>47</v>
      </c>
      <c r="P183" s="4">
        <v>72.099999999999994</v>
      </c>
      <c r="Q183" s="4">
        <v>75.7</v>
      </c>
      <c r="R183" s="1">
        <v>516</v>
      </c>
      <c r="S183" s="8">
        <v>0.66200000000000003</v>
      </c>
    </row>
    <row r="184" spans="1:19" x14ac:dyDescent="0.2">
      <c r="A184" s="109"/>
      <c r="B184" s="105"/>
      <c r="C184" s="29">
        <v>50</v>
      </c>
      <c r="D184" s="4">
        <v>64.959999999999994</v>
      </c>
      <c r="E184" s="4">
        <v>72.680000000000007</v>
      </c>
      <c r="F184" s="1">
        <v>200</v>
      </c>
      <c r="G184" s="8">
        <v>0.79700000000000004</v>
      </c>
      <c r="H184" s="105"/>
      <c r="I184" s="29">
        <v>50</v>
      </c>
      <c r="J184" s="4">
        <v>71.48</v>
      </c>
      <c r="K184" s="4">
        <v>74.099999999999994</v>
      </c>
      <c r="L184" s="1">
        <v>781</v>
      </c>
      <c r="M184" s="8">
        <v>0.61499999999999999</v>
      </c>
      <c r="N184" s="105"/>
      <c r="O184" s="29">
        <v>50</v>
      </c>
      <c r="P184" s="4">
        <v>76.44</v>
      </c>
      <c r="Q184" s="4">
        <v>79.42</v>
      </c>
      <c r="R184" s="1">
        <v>315</v>
      </c>
      <c r="S184" s="8">
        <v>0.65900000000000003</v>
      </c>
    </row>
    <row r="185" spans="1:19" x14ac:dyDescent="0.2">
      <c r="A185" s="109"/>
      <c r="B185" s="105"/>
      <c r="C185" s="30">
        <v>91</v>
      </c>
      <c r="D185" s="27">
        <v>63.35</v>
      </c>
      <c r="E185" s="27">
        <v>72.11</v>
      </c>
      <c r="F185" s="26">
        <v>122</v>
      </c>
      <c r="G185" s="32">
        <v>0.82799999999999996</v>
      </c>
      <c r="H185" s="105"/>
      <c r="I185" s="30">
        <v>91</v>
      </c>
      <c r="J185" s="27">
        <v>70.02</v>
      </c>
      <c r="K185" s="27">
        <v>73.709999999999994</v>
      </c>
      <c r="L185" s="26">
        <v>659</v>
      </c>
      <c r="M185" s="32">
        <v>0.65400000000000003</v>
      </c>
      <c r="N185" s="105"/>
      <c r="O185" s="30">
        <v>91</v>
      </c>
      <c r="P185" s="27">
        <v>70.22</v>
      </c>
      <c r="Q185" s="27">
        <v>73.349999999999994</v>
      </c>
      <c r="R185" s="26">
        <v>763</v>
      </c>
      <c r="S185" s="32">
        <v>0.63100000000000001</v>
      </c>
    </row>
    <row r="186" spans="1:19" x14ac:dyDescent="0.2">
      <c r="A186" s="110"/>
      <c r="B186" s="105"/>
      <c r="C186" s="6" t="s">
        <v>8</v>
      </c>
      <c r="D186" s="7">
        <f>AVERAGE(D181:D185)</f>
        <v>63.989999999999995</v>
      </c>
      <c r="E186" s="7">
        <f>AVERAGE(E181:E185)</f>
        <v>72.234000000000009</v>
      </c>
      <c r="F186" s="35">
        <f t="shared" ref="F186:G186" si="59">AVERAGE(F181:F185)</f>
        <v>180.2</v>
      </c>
      <c r="G186" s="34">
        <f t="shared" si="59"/>
        <v>0.81040000000000012</v>
      </c>
      <c r="H186" s="105"/>
      <c r="I186" s="6" t="s">
        <v>8</v>
      </c>
      <c r="J186" s="7">
        <f>AVERAGE(J181:J185)</f>
        <v>70.496000000000009</v>
      </c>
      <c r="K186" s="7">
        <f>AVERAGE(K181:K185)</f>
        <v>73.99799999999999</v>
      </c>
      <c r="L186" s="35">
        <f>AVERAGE(L181:L185)</f>
        <v>661.6</v>
      </c>
      <c r="M186" s="34">
        <f>AVERAGE(M181:M185)</f>
        <v>0.64879999999999993</v>
      </c>
      <c r="N186" s="105"/>
      <c r="O186" s="6" t="s">
        <v>8</v>
      </c>
      <c r="P186" s="7">
        <f>AVERAGE(P181:P185)</f>
        <v>72.756</v>
      </c>
      <c r="Q186" s="7">
        <f>AVERAGE(Q181:Q185)</f>
        <v>75.666000000000011</v>
      </c>
      <c r="R186" s="35">
        <f>AVERAGE(R181:R185)</f>
        <v>615.6</v>
      </c>
      <c r="S186" s="34">
        <f>AVERAGE(S181:S185)</f>
        <v>0.63540000000000008</v>
      </c>
    </row>
    <row r="187" spans="1:19" x14ac:dyDescent="0.2">
      <c r="A187" s="119">
        <v>1.8</v>
      </c>
      <c r="B187" s="105"/>
      <c r="C187" s="28">
        <v>13</v>
      </c>
      <c r="D187" s="25">
        <v>53.67</v>
      </c>
      <c r="E187" s="25">
        <v>67.650000000000006</v>
      </c>
      <c r="F187" s="25">
        <v>17</v>
      </c>
      <c r="G187" s="31">
        <v>0.94599999999999995</v>
      </c>
      <c r="H187" s="105"/>
      <c r="I187" s="28">
        <v>13</v>
      </c>
      <c r="J187" s="25">
        <v>66.92</v>
      </c>
      <c r="K187" s="25">
        <v>73.349999999999994</v>
      </c>
      <c r="L187" s="25">
        <v>309</v>
      </c>
      <c r="M187" s="31">
        <v>0.755</v>
      </c>
      <c r="N187" s="105"/>
      <c r="O187" s="28">
        <v>13</v>
      </c>
      <c r="P187" s="25">
        <v>68.209999999999994</v>
      </c>
      <c r="Q187" s="25">
        <v>72.25</v>
      </c>
      <c r="R187" s="25">
        <v>723</v>
      </c>
      <c r="S187" s="31">
        <v>0.65900000000000003</v>
      </c>
    </row>
    <row r="188" spans="1:19" x14ac:dyDescent="0.2">
      <c r="A188" s="109"/>
      <c r="B188" s="105"/>
      <c r="C188" s="29">
        <v>21</v>
      </c>
      <c r="D188" s="4">
        <v>50.71</v>
      </c>
      <c r="E188" s="4">
        <v>66.36</v>
      </c>
      <c r="F188" s="1">
        <v>0</v>
      </c>
      <c r="G188" s="8">
        <v>0.97899999999999998</v>
      </c>
      <c r="H188" s="105"/>
      <c r="I188" s="29">
        <v>21</v>
      </c>
      <c r="J188" s="4">
        <v>64.31</v>
      </c>
      <c r="K188" s="4">
        <v>73.03</v>
      </c>
      <c r="L188" s="1">
        <v>30</v>
      </c>
      <c r="M188" s="8">
        <v>0.83699999999999997</v>
      </c>
      <c r="N188" s="105"/>
      <c r="O188" s="29">
        <v>21</v>
      </c>
      <c r="P188" s="4">
        <v>65.66</v>
      </c>
      <c r="Q188" s="4">
        <v>73.33</v>
      </c>
      <c r="R188" s="1">
        <v>139</v>
      </c>
      <c r="S188" s="8">
        <v>0.80200000000000005</v>
      </c>
    </row>
    <row r="189" spans="1:19" x14ac:dyDescent="0.2">
      <c r="A189" s="109"/>
      <c r="B189" s="105"/>
      <c r="C189" s="29">
        <v>47</v>
      </c>
      <c r="D189" s="4">
        <v>55.19</v>
      </c>
      <c r="E189" s="4">
        <v>68.36</v>
      </c>
      <c r="F189" s="1">
        <v>21</v>
      </c>
      <c r="G189" s="33">
        <v>0.93</v>
      </c>
      <c r="H189" s="105"/>
      <c r="I189" s="29">
        <v>47</v>
      </c>
      <c r="J189" s="4">
        <v>63.2</v>
      </c>
      <c r="K189" s="4">
        <v>71.930000000000007</v>
      </c>
      <c r="L189" s="1">
        <v>145</v>
      </c>
      <c r="M189" s="8">
        <v>0.82499999999999996</v>
      </c>
      <c r="N189" s="105"/>
      <c r="O189" s="29">
        <v>47</v>
      </c>
      <c r="P189" s="4">
        <v>68.91</v>
      </c>
      <c r="Q189" s="4">
        <v>73.53</v>
      </c>
      <c r="R189" s="1">
        <v>543</v>
      </c>
      <c r="S189" s="8">
        <v>0.68799999999999994</v>
      </c>
    </row>
    <row r="190" spans="1:19" x14ac:dyDescent="0.2">
      <c r="A190" s="109"/>
      <c r="B190" s="105"/>
      <c r="C190" s="29">
        <v>50</v>
      </c>
      <c r="D190" s="4">
        <v>50.55</v>
      </c>
      <c r="E190" s="4">
        <v>66.28</v>
      </c>
      <c r="F190" s="1">
        <v>0</v>
      </c>
      <c r="G190" s="8">
        <v>0.98099999999999998</v>
      </c>
      <c r="H190" s="105"/>
      <c r="I190" s="29">
        <v>50</v>
      </c>
      <c r="J190" s="4">
        <v>65.06</v>
      </c>
      <c r="K190" s="4">
        <v>72.98</v>
      </c>
      <c r="L190" s="1">
        <v>143</v>
      </c>
      <c r="M190" s="8">
        <v>0.80700000000000005</v>
      </c>
      <c r="N190" s="105"/>
      <c r="O190" s="29">
        <v>50</v>
      </c>
      <c r="P190" s="4">
        <v>71.36</v>
      </c>
      <c r="Q190" s="4">
        <v>76.81</v>
      </c>
      <c r="R190" s="1">
        <v>117</v>
      </c>
      <c r="S190" s="8">
        <v>0.749</v>
      </c>
    </row>
    <row r="191" spans="1:19" x14ac:dyDescent="0.2">
      <c r="A191" s="109"/>
      <c r="B191" s="105"/>
      <c r="C191" s="30">
        <v>91</v>
      </c>
      <c r="D191" s="27">
        <v>51.1</v>
      </c>
      <c r="E191" s="27">
        <v>66.53</v>
      </c>
      <c r="F191" s="26">
        <v>0</v>
      </c>
      <c r="G191" s="32">
        <v>0.97499999999999998</v>
      </c>
      <c r="H191" s="105"/>
      <c r="I191" s="30">
        <v>91</v>
      </c>
      <c r="J191" s="27">
        <v>64.39</v>
      </c>
      <c r="K191" s="27">
        <v>72.34</v>
      </c>
      <c r="L191" s="26">
        <v>204</v>
      </c>
      <c r="M191" s="32">
        <v>0.80100000000000005</v>
      </c>
      <c r="N191" s="105"/>
      <c r="O191" s="30">
        <v>91</v>
      </c>
      <c r="P191" s="27">
        <v>64.78</v>
      </c>
      <c r="Q191" s="27">
        <v>71.75</v>
      </c>
      <c r="R191" s="26">
        <v>389</v>
      </c>
      <c r="S191" s="32">
        <v>0.76100000000000001</v>
      </c>
    </row>
    <row r="192" spans="1:19" x14ac:dyDescent="0.2">
      <c r="A192" s="110"/>
      <c r="B192" s="105"/>
      <c r="C192" s="6" t="s">
        <v>8</v>
      </c>
      <c r="D192" s="7">
        <f>AVERAGE(D187:D191)</f>
        <v>52.244000000000007</v>
      </c>
      <c r="E192" s="7">
        <f>AVERAGE(E187:E191)</f>
        <v>67.035999999999987</v>
      </c>
      <c r="F192" s="35">
        <f t="shared" ref="F192:G192" si="60">AVERAGE(F187:F191)</f>
        <v>7.6</v>
      </c>
      <c r="G192" s="34">
        <f t="shared" si="60"/>
        <v>0.96219999999999994</v>
      </c>
      <c r="H192" s="105"/>
      <c r="I192" s="6" t="s">
        <v>8</v>
      </c>
      <c r="J192" s="7">
        <f>AVERAGE(J187:J191)</f>
        <v>64.775999999999996</v>
      </c>
      <c r="K192" s="7">
        <f>AVERAGE(K187:K191)</f>
        <v>72.725999999999999</v>
      </c>
      <c r="L192" s="35">
        <f>AVERAGE(L187:L191)</f>
        <v>166.2</v>
      </c>
      <c r="M192" s="34">
        <f>AVERAGE(M187:M191)</f>
        <v>0.80499999999999994</v>
      </c>
      <c r="N192" s="105"/>
      <c r="O192" s="6" t="s">
        <v>8</v>
      </c>
      <c r="P192" s="7">
        <f>AVERAGE(P187:P191)</f>
        <v>67.783999999999992</v>
      </c>
      <c r="Q192" s="7">
        <f>AVERAGE(Q187:Q191)</f>
        <v>73.533999999999992</v>
      </c>
      <c r="R192" s="35">
        <f>AVERAGE(R187:R191)</f>
        <v>382.2</v>
      </c>
      <c r="S192" s="34">
        <f>AVERAGE(S187:S191)</f>
        <v>0.73180000000000001</v>
      </c>
    </row>
    <row r="193" spans="1:19" x14ac:dyDescent="0.2">
      <c r="A193" s="119">
        <v>2</v>
      </c>
      <c r="B193" s="105"/>
      <c r="C193" s="28">
        <v>13</v>
      </c>
      <c r="D193" s="25">
        <v>48.86</v>
      </c>
      <c r="E193" s="25">
        <v>65.53</v>
      </c>
      <c r="F193" s="25">
        <v>0</v>
      </c>
      <c r="G193" s="31">
        <v>0.998</v>
      </c>
      <c r="H193" s="105"/>
      <c r="I193" s="28">
        <v>13</v>
      </c>
      <c r="J193" s="1">
        <v>52.15</v>
      </c>
      <c r="K193" s="1">
        <v>67</v>
      </c>
      <c r="L193" s="1">
        <v>4</v>
      </c>
      <c r="M193" s="8">
        <v>0.96399999999999997</v>
      </c>
      <c r="N193" s="109"/>
      <c r="O193" s="28">
        <v>13</v>
      </c>
      <c r="P193" s="25">
        <v>60.17</v>
      </c>
      <c r="Q193" s="25">
        <v>70.510000000000005</v>
      </c>
      <c r="R193" s="25">
        <v>99</v>
      </c>
      <c r="S193" s="31">
        <v>0.86499999999999999</v>
      </c>
    </row>
    <row r="194" spans="1:19" x14ac:dyDescent="0.2">
      <c r="A194" s="109"/>
      <c r="B194" s="105"/>
      <c r="C194" s="29">
        <v>21</v>
      </c>
      <c r="D194" s="4">
        <v>48.73</v>
      </c>
      <c r="E194" s="4">
        <v>65.47</v>
      </c>
      <c r="F194" s="1">
        <v>0</v>
      </c>
      <c r="G194" s="8">
        <v>0.999</v>
      </c>
      <c r="H194" s="105"/>
      <c r="I194" s="29">
        <v>21</v>
      </c>
      <c r="J194" s="1">
        <v>51.95</v>
      </c>
      <c r="K194" s="1">
        <v>66.92</v>
      </c>
      <c r="L194" s="1">
        <v>0</v>
      </c>
      <c r="M194" s="8">
        <v>0.96699999999999997</v>
      </c>
      <c r="N194" s="105"/>
      <c r="O194" s="29">
        <v>21</v>
      </c>
      <c r="P194" s="4">
        <v>53.71</v>
      </c>
      <c r="Q194" s="4">
        <v>67.62</v>
      </c>
      <c r="R194" s="1">
        <v>28</v>
      </c>
      <c r="S194" s="8">
        <v>0.94299999999999995</v>
      </c>
    </row>
    <row r="195" spans="1:19" x14ac:dyDescent="0.2">
      <c r="A195" s="109"/>
      <c r="B195" s="105"/>
      <c r="C195" s="29">
        <v>47</v>
      </c>
      <c r="D195" s="4">
        <v>48.64</v>
      </c>
      <c r="E195" s="4">
        <v>65.430000000000007</v>
      </c>
      <c r="F195" s="1">
        <v>0</v>
      </c>
      <c r="G195" s="8">
        <v>0.999</v>
      </c>
      <c r="H195" s="105"/>
      <c r="I195" s="29">
        <v>47</v>
      </c>
      <c r="J195" s="4">
        <v>52.6</v>
      </c>
      <c r="K195" s="4">
        <v>67.180000000000007</v>
      </c>
      <c r="L195" s="1">
        <v>9</v>
      </c>
      <c r="M195" s="8">
        <v>0.95799999999999996</v>
      </c>
      <c r="N195" s="105"/>
      <c r="O195" s="29">
        <v>47</v>
      </c>
      <c r="P195" s="4">
        <v>50.1</v>
      </c>
      <c r="Q195" s="4">
        <v>66.069999999999993</v>
      </c>
      <c r="R195" s="1">
        <v>2</v>
      </c>
      <c r="S195" s="8">
        <v>0.98499999999999999</v>
      </c>
    </row>
    <row r="196" spans="1:19" x14ac:dyDescent="0.2">
      <c r="A196" s="109"/>
      <c r="B196" s="105"/>
      <c r="C196" s="29">
        <v>50</v>
      </c>
      <c r="D196" s="4">
        <v>48.76</v>
      </c>
      <c r="E196" s="4">
        <v>65.489999999999995</v>
      </c>
      <c r="F196" s="1">
        <v>0</v>
      </c>
      <c r="G196" s="8">
        <v>0.999</v>
      </c>
      <c r="H196" s="105"/>
      <c r="I196" s="29">
        <v>50</v>
      </c>
      <c r="J196" s="4">
        <v>54.2</v>
      </c>
      <c r="K196" s="4">
        <v>67.959999999999994</v>
      </c>
      <c r="L196" s="1">
        <v>4</v>
      </c>
      <c r="M196" s="8">
        <v>0.94299999999999995</v>
      </c>
      <c r="N196" s="105"/>
      <c r="O196" s="29">
        <v>50</v>
      </c>
      <c r="P196" s="4">
        <v>58.31</v>
      </c>
      <c r="Q196" s="4">
        <v>69.97</v>
      </c>
      <c r="R196" s="1">
        <v>5</v>
      </c>
      <c r="S196" s="8">
        <v>0.90200000000000002</v>
      </c>
    </row>
    <row r="197" spans="1:19" x14ac:dyDescent="0.2">
      <c r="A197" s="109"/>
      <c r="B197" s="105"/>
      <c r="C197" s="30">
        <v>91</v>
      </c>
      <c r="D197" s="27">
        <v>48.66</v>
      </c>
      <c r="E197" s="27">
        <v>65.44</v>
      </c>
      <c r="F197" s="26">
        <v>0</v>
      </c>
      <c r="G197" s="32">
        <v>0.999</v>
      </c>
      <c r="H197" s="105"/>
      <c r="I197" s="30">
        <v>91</v>
      </c>
      <c r="J197" s="27">
        <v>51.97</v>
      </c>
      <c r="K197" s="27">
        <v>66.91</v>
      </c>
      <c r="L197" s="26">
        <v>5</v>
      </c>
      <c r="M197" s="32">
        <v>0.96499999999999997</v>
      </c>
      <c r="N197" s="105"/>
      <c r="O197" s="30">
        <v>91</v>
      </c>
      <c r="P197" s="27">
        <v>48.9</v>
      </c>
      <c r="Q197" s="27">
        <v>65.55</v>
      </c>
      <c r="R197" s="26">
        <v>0</v>
      </c>
      <c r="S197" s="32">
        <v>0.997</v>
      </c>
    </row>
    <row r="198" spans="1:19" x14ac:dyDescent="0.2">
      <c r="A198" s="110"/>
      <c r="B198" s="106"/>
      <c r="C198" s="6" t="s">
        <v>8</v>
      </c>
      <c r="D198" s="7">
        <f>AVERAGE(D193:D197)</f>
        <v>48.730000000000004</v>
      </c>
      <c r="E198" s="7">
        <f>AVERAGE(E193:E197)</f>
        <v>65.472000000000008</v>
      </c>
      <c r="F198" s="35">
        <f t="shared" ref="F198:G198" si="61">AVERAGE(F193:F197)</f>
        <v>0</v>
      </c>
      <c r="G198" s="34">
        <f t="shared" si="61"/>
        <v>0.99879999999999991</v>
      </c>
      <c r="H198" s="106"/>
      <c r="I198" s="6" t="s">
        <v>8</v>
      </c>
      <c r="J198" s="7">
        <f>AVERAGE(J193:J197)</f>
        <v>52.573999999999998</v>
      </c>
      <c r="K198" s="7">
        <f>AVERAGE(K193:K197)</f>
        <v>67.194000000000003</v>
      </c>
      <c r="L198" s="35">
        <f>AVERAGE(L193:L197)</f>
        <v>4.4000000000000004</v>
      </c>
      <c r="M198" s="34">
        <f>AVERAGE(M193:M197)</f>
        <v>0.95940000000000014</v>
      </c>
      <c r="N198" s="106"/>
      <c r="O198" s="6" t="s">
        <v>8</v>
      </c>
      <c r="P198" s="7">
        <f>AVERAGE(P193:P197)</f>
        <v>54.238</v>
      </c>
      <c r="Q198" s="7">
        <f>AVERAGE(Q193:Q197)</f>
        <v>67.943999999999988</v>
      </c>
      <c r="R198" s="35">
        <f>AVERAGE(R193:R197)</f>
        <v>26.8</v>
      </c>
      <c r="S198" s="34">
        <f>AVERAGE(S193:S197)</f>
        <v>0.93840000000000001</v>
      </c>
    </row>
    <row r="199" spans="1:19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">
      <c r="A201" s="120" t="s">
        <v>23</v>
      </c>
      <c r="B201" s="107" t="s">
        <v>0</v>
      </c>
      <c r="C201" s="108"/>
      <c r="D201" s="108"/>
      <c r="E201" s="108"/>
      <c r="F201" s="108"/>
      <c r="G201" s="111"/>
      <c r="H201" s="107" t="s">
        <v>1</v>
      </c>
      <c r="I201" s="108"/>
      <c r="J201" s="108"/>
      <c r="K201" s="108"/>
      <c r="L201" s="108"/>
      <c r="M201" s="111"/>
      <c r="N201" s="107" t="s">
        <v>2</v>
      </c>
      <c r="O201" s="108"/>
      <c r="P201" s="108"/>
      <c r="Q201" s="108"/>
      <c r="R201" s="108"/>
      <c r="S201" s="111"/>
    </row>
    <row r="202" spans="1:19" x14ac:dyDescent="0.2">
      <c r="A202" s="121"/>
      <c r="B202" s="19" t="s">
        <v>3</v>
      </c>
      <c r="C202" s="1" t="s">
        <v>4</v>
      </c>
      <c r="D202" s="1" t="s">
        <v>6</v>
      </c>
      <c r="E202" s="2" t="s">
        <v>7</v>
      </c>
      <c r="F202" s="1" t="s">
        <v>24</v>
      </c>
      <c r="G202" s="8" t="s">
        <v>25</v>
      </c>
      <c r="H202" s="19" t="s">
        <v>3</v>
      </c>
      <c r="I202" s="1" t="s">
        <v>4</v>
      </c>
      <c r="J202" s="1" t="s">
        <v>6</v>
      </c>
      <c r="K202" s="2" t="s">
        <v>7</v>
      </c>
      <c r="L202" s="1" t="s">
        <v>24</v>
      </c>
      <c r="M202" s="8" t="s">
        <v>25</v>
      </c>
      <c r="N202" s="19" t="s">
        <v>3</v>
      </c>
      <c r="O202" s="1" t="s">
        <v>4</v>
      </c>
      <c r="P202" s="1" t="s">
        <v>6</v>
      </c>
      <c r="Q202" s="2" t="s">
        <v>7</v>
      </c>
      <c r="R202" s="1" t="s">
        <v>24</v>
      </c>
      <c r="S202" s="8" t="s">
        <v>25</v>
      </c>
    </row>
    <row r="203" spans="1:19" x14ac:dyDescent="0.2">
      <c r="A203" s="122">
        <v>1</v>
      </c>
      <c r="B203" s="104">
        <v>16</v>
      </c>
      <c r="C203" s="28">
        <v>13</v>
      </c>
      <c r="D203" s="25">
        <v>75.239999999999995</v>
      </c>
      <c r="E203" s="1">
        <v>75.06</v>
      </c>
      <c r="F203" s="25">
        <v>1136</v>
      </c>
      <c r="G203" s="31">
        <v>0.50700000000000001</v>
      </c>
      <c r="H203" s="104">
        <v>16</v>
      </c>
      <c r="I203" s="28">
        <v>13</v>
      </c>
      <c r="J203" s="25">
        <v>76.86</v>
      </c>
      <c r="K203" s="1">
        <v>76.709999999999994</v>
      </c>
      <c r="L203" s="25">
        <v>1051</v>
      </c>
      <c r="M203" s="31">
        <v>0.50700000000000001</v>
      </c>
      <c r="N203" s="104">
        <v>16</v>
      </c>
      <c r="O203" s="28">
        <v>13</v>
      </c>
      <c r="P203" s="25">
        <v>77.05</v>
      </c>
      <c r="Q203" s="1">
        <v>76.650000000000006</v>
      </c>
      <c r="R203" s="25">
        <v>1094</v>
      </c>
      <c r="S203" s="31">
        <v>0.497</v>
      </c>
    </row>
    <row r="204" spans="1:19" x14ac:dyDescent="0.2">
      <c r="A204" s="123"/>
      <c r="B204" s="105"/>
      <c r="C204" s="29">
        <v>21</v>
      </c>
      <c r="D204" s="4">
        <v>75.33</v>
      </c>
      <c r="E204" s="4">
        <v>75.650000000000006</v>
      </c>
      <c r="F204" s="1">
        <v>1029</v>
      </c>
      <c r="G204" s="8">
        <v>0.52700000000000002</v>
      </c>
      <c r="H204" s="105"/>
      <c r="I204" s="29">
        <v>21</v>
      </c>
      <c r="J204" s="4">
        <v>76.77</v>
      </c>
      <c r="K204" s="4">
        <v>75.989999999999995</v>
      </c>
      <c r="L204" s="1">
        <v>1184</v>
      </c>
      <c r="M204" s="8">
        <v>0.48199999999999998</v>
      </c>
      <c r="N204" s="105"/>
      <c r="O204" s="29">
        <v>21</v>
      </c>
      <c r="P204" s="4">
        <v>78.099999999999994</v>
      </c>
      <c r="Q204" s="4">
        <v>78</v>
      </c>
      <c r="R204" s="1">
        <v>979</v>
      </c>
      <c r="S204" s="8">
        <v>0.50900000000000001</v>
      </c>
    </row>
    <row r="205" spans="1:19" x14ac:dyDescent="0.2">
      <c r="A205" s="123"/>
      <c r="B205" s="105"/>
      <c r="C205" s="29">
        <v>47</v>
      </c>
      <c r="D205" s="4">
        <v>74.95</v>
      </c>
      <c r="E205" s="4">
        <v>75.31</v>
      </c>
      <c r="F205" s="1">
        <v>1041</v>
      </c>
      <c r="G205" s="8">
        <v>0.52800000000000002</v>
      </c>
      <c r="H205" s="105"/>
      <c r="I205" s="29">
        <v>47</v>
      </c>
      <c r="J205" s="4">
        <v>77.08</v>
      </c>
      <c r="K205" s="4">
        <v>76.739999999999995</v>
      </c>
      <c r="L205" s="1">
        <v>1081</v>
      </c>
      <c r="M205" s="8">
        <v>0.499</v>
      </c>
      <c r="N205" s="105"/>
      <c r="O205" s="29">
        <v>47</v>
      </c>
      <c r="P205" s="4">
        <v>77.8</v>
      </c>
      <c r="Q205" s="4">
        <v>77.53</v>
      </c>
      <c r="R205" s="1">
        <v>1032</v>
      </c>
      <c r="S205" s="8">
        <v>0.502</v>
      </c>
    </row>
    <row r="206" spans="1:19" x14ac:dyDescent="0.2">
      <c r="A206" s="123"/>
      <c r="B206" s="105"/>
      <c r="C206" s="29">
        <v>50</v>
      </c>
      <c r="D206" s="4">
        <v>75.12</v>
      </c>
      <c r="E206" s="4">
        <v>74.900000000000006</v>
      </c>
      <c r="F206" s="1">
        <v>1148</v>
      </c>
      <c r="G206" s="8">
        <v>0.505</v>
      </c>
      <c r="H206" s="105"/>
      <c r="I206" s="29">
        <v>50</v>
      </c>
      <c r="J206" s="4">
        <v>77.22</v>
      </c>
      <c r="K206" s="4">
        <v>76.27</v>
      </c>
      <c r="L206" s="1">
        <v>1200</v>
      </c>
      <c r="M206" s="8">
        <v>0.47399999999999998</v>
      </c>
      <c r="N206" s="105"/>
      <c r="O206" s="29">
        <v>50</v>
      </c>
      <c r="P206" s="4">
        <v>78.09</v>
      </c>
      <c r="Q206" s="4">
        <v>78.62</v>
      </c>
      <c r="R206" s="1">
        <v>832</v>
      </c>
      <c r="S206" s="8">
        <v>0.502</v>
      </c>
    </row>
    <row r="207" spans="1:19" x14ac:dyDescent="0.2">
      <c r="A207" s="123"/>
      <c r="B207" s="105"/>
      <c r="C207" s="30">
        <v>91</v>
      </c>
      <c r="D207" s="27">
        <v>72.7</v>
      </c>
      <c r="E207" s="27">
        <v>73.099999999999994</v>
      </c>
      <c r="F207" s="26">
        <v>1151</v>
      </c>
      <c r="G207" s="32">
        <v>0.52900000000000003</v>
      </c>
      <c r="H207" s="105"/>
      <c r="I207" s="30">
        <v>91</v>
      </c>
      <c r="J207" s="27">
        <v>76.77</v>
      </c>
      <c r="K207" s="27">
        <v>76.83</v>
      </c>
      <c r="L207" s="26">
        <v>1010</v>
      </c>
      <c r="M207" s="32">
        <v>0.51600000000000001</v>
      </c>
      <c r="N207" s="105"/>
      <c r="O207" s="30">
        <v>91</v>
      </c>
      <c r="P207" s="27">
        <v>78.069999999999993</v>
      </c>
      <c r="Q207" s="27">
        <v>78.3</v>
      </c>
      <c r="R207" s="26">
        <v>904</v>
      </c>
      <c r="S207" s="32">
        <v>0.52500000000000002</v>
      </c>
    </row>
    <row r="208" spans="1:19" x14ac:dyDescent="0.2">
      <c r="A208" s="121"/>
      <c r="B208" s="105"/>
      <c r="C208" s="6" t="s">
        <v>8</v>
      </c>
      <c r="D208" s="7">
        <f>AVERAGE(D203:D207)</f>
        <v>74.667999999999992</v>
      </c>
      <c r="E208" s="7">
        <f>AVERAGE(E203:E207)</f>
        <v>74.804000000000002</v>
      </c>
      <c r="F208" s="35">
        <f t="shared" ref="F208:G208" si="62">AVERAGE(F203:F207)</f>
        <v>1101</v>
      </c>
      <c r="G208" s="34">
        <f t="shared" si="62"/>
        <v>0.51919999999999999</v>
      </c>
      <c r="H208" s="105"/>
      <c r="I208" s="6" t="s">
        <v>8</v>
      </c>
      <c r="J208" s="7">
        <f>AVERAGE(J203:J207)</f>
        <v>76.939999999999984</v>
      </c>
      <c r="K208" s="7">
        <f>AVERAGE(K203:K207)</f>
        <v>76.507999999999996</v>
      </c>
      <c r="L208" s="35">
        <f t="shared" ref="L208:M208" si="63">AVERAGE(L203:L207)</f>
        <v>1105.2</v>
      </c>
      <c r="M208" s="34">
        <f t="shared" si="63"/>
        <v>0.49559999999999993</v>
      </c>
      <c r="N208" s="105"/>
      <c r="O208" s="6" t="s">
        <v>8</v>
      </c>
      <c r="P208" s="7">
        <f>AVERAGE(P203:P207)</f>
        <v>77.821999999999989</v>
      </c>
      <c r="Q208" s="7">
        <f>AVERAGE(Q203:Q207)</f>
        <v>77.820000000000007</v>
      </c>
      <c r="R208" s="35">
        <f>AVERAGE(R203:R207)</f>
        <v>968.2</v>
      </c>
      <c r="S208" s="34">
        <f>AVERAGE(S203:S207)</f>
        <v>0.5069999999999999</v>
      </c>
    </row>
    <row r="209" spans="1:19" x14ac:dyDescent="0.2">
      <c r="A209" s="119">
        <v>1.2</v>
      </c>
      <c r="B209" s="105"/>
      <c r="C209" s="28">
        <v>13</v>
      </c>
      <c r="D209" s="25">
        <v>75.319999999999993</v>
      </c>
      <c r="E209" s="25">
        <v>74.78</v>
      </c>
      <c r="F209" s="25">
        <v>1202</v>
      </c>
      <c r="G209" s="31">
        <v>0.49299999999999999</v>
      </c>
      <c r="H209" s="105"/>
      <c r="I209" s="28">
        <v>13</v>
      </c>
      <c r="J209" s="25">
        <v>76.05</v>
      </c>
      <c r="K209" s="25">
        <v>74.819999999999993</v>
      </c>
      <c r="L209" s="25">
        <v>1103</v>
      </c>
      <c r="M209" s="31">
        <v>0.46500000000000002</v>
      </c>
      <c r="N209" s="105"/>
      <c r="O209" s="28">
        <v>13</v>
      </c>
      <c r="P209" s="25">
        <v>77.17</v>
      </c>
      <c r="Q209" s="25">
        <v>77.06</v>
      </c>
      <c r="R209" s="25">
        <v>1027</v>
      </c>
      <c r="S209" s="31">
        <v>0.50900000000000001</v>
      </c>
    </row>
    <row r="210" spans="1:19" x14ac:dyDescent="0.2">
      <c r="A210" s="109"/>
      <c r="B210" s="105"/>
      <c r="C210" s="29">
        <v>21</v>
      </c>
      <c r="D210" s="4">
        <v>75.27</v>
      </c>
      <c r="E210" s="4">
        <v>74.44</v>
      </c>
      <c r="F210" s="1">
        <v>1259</v>
      </c>
      <c r="G210" s="8">
        <v>0.48199999999999998</v>
      </c>
      <c r="H210" s="105"/>
      <c r="I210" s="29">
        <v>21</v>
      </c>
      <c r="J210" s="4">
        <v>75.47</v>
      </c>
      <c r="K210" s="4">
        <v>76.150000000000006</v>
      </c>
      <c r="L210" s="1">
        <v>946</v>
      </c>
      <c r="M210" s="8">
        <v>0.54200000000000004</v>
      </c>
      <c r="N210" s="105"/>
      <c r="O210" s="29">
        <v>21</v>
      </c>
      <c r="P210" s="4">
        <v>77.06</v>
      </c>
      <c r="Q210" s="4">
        <v>77.67</v>
      </c>
      <c r="R210" s="1">
        <v>871</v>
      </c>
      <c r="S210" s="8">
        <v>0.54100000000000004</v>
      </c>
    </row>
    <row r="211" spans="1:19" x14ac:dyDescent="0.2">
      <c r="A211" s="109"/>
      <c r="B211" s="105"/>
      <c r="C211" s="29">
        <v>47</v>
      </c>
      <c r="D211" s="4">
        <v>74.819999999999993</v>
      </c>
      <c r="E211" s="4">
        <v>74.08</v>
      </c>
      <c r="F211" s="1">
        <v>1263</v>
      </c>
      <c r="G211" s="8">
        <v>0.48499999999999999</v>
      </c>
      <c r="H211" s="105"/>
      <c r="I211" s="29">
        <v>47</v>
      </c>
      <c r="J211" s="4">
        <v>77.27</v>
      </c>
      <c r="K211" s="4">
        <v>76.400000000000006</v>
      </c>
      <c r="L211" s="1">
        <v>1181</v>
      </c>
      <c r="M211" s="8">
        <v>0.47699999999999998</v>
      </c>
      <c r="N211" s="105"/>
      <c r="O211" s="29">
        <v>47</v>
      </c>
      <c r="P211" s="4">
        <v>77.33</v>
      </c>
      <c r="Q211" s="4">
        <v>77.64</v>
      </c>
      <c r="R211" s="1">
        <v>926</v>
      </c>
      <c r="S211" s="8">
        <v>0.52800000000000002</v>
      </c>
    </row>
    <row r="212" spans="1:19" x14ac:dyDescent="0.2">
      <c r="A212" s="109"/>
      <c r="B212" s="105"/>
      <c r="C212" s="29">
        <v>50</v>
      </c>
      <c r="D212" s="4">
        <v>74.430000000000007</v>
      </c>
      <c r="E212" s="4">
        <v>76.02</v>
      </c>
      <c r="F212" s="1">
        <v>807</v>
      </c>
      <c r="G212" s="33">
        <v>0.57999999999999996</v>
      </c>
      <c r="H212" s="105"/>
      <c r="I212" s="29">
        <v>50</v>
      </c>
      <c r="J212" s="4">
        <v>76.69</v>
      </c>
      <c r="K212" s="4">
        <v>76.14</v>
      </c>
      <c r="L212" s="1">
        <v>1142</v>
      </c>
      <c r="M212" s="8">
        <v>0.49099999999999999</v>
      </c>
      <c r="N212" s="105"/>
      <c r="O212" s="29">
        <v>50</v>
      </c>
      <c r="P212" s="4">
        <v>78.05</v>
      </c>
      <c r="Q212" s="4">
        <v>77.989999999999995</v>
      </c>
      <c r="R212" s="1">
        <v>971</v>
      </c>
      <c r="S212" s="8">
        <v>0.51100000000000001</v>
      </c>
    </row>
    <row r="213" spans="1:19" x14ac:dyDescent="0.2">
      <c r="A213" s="109"/>
      <c r="B213" s="105"/>
      <c r="C213" s="30">
        <v>91</v>
      </c>
      <c r="D213" s="27">
        <v>74.75</v>
      </c>
      <c r="E213" s="27">
        <v>75.790000000000006</v>
      </c>
      <c r="F213" s="26">
        <v>908</v>
      </c>
      <c r="G213" s="32">
        <v>0.55700000000000005</v>
      </c>
      <c r="H213" s="105"/>
      <c r="I213" s="30">
        <v>91</v>
      </c>
      <c r="J213" s="27">
        <v>76.97</v>
      </c>
      <c r="K213" s="27">
        <v>77.2</v>
      </c>
      <c r="L213" s="26">
        <v>961</v>
      </c>
      <c r="M213" s="32">
        <v>0.52400000000000002</v>
      </c>
      <c r="N213" s="105"/>
      <c r="O213" s="30">
        <v>91</v>
      </c>
      <c r="P213" s="27">
        <v>77.900000000000006</v>
      </c>
      <c r="Q213" s="27">
        <v>78.08</v>
      </c>
      <c r="R213" s="26">
        <v>924</v>
      </c>
      <c r="S213" s="32">
        <v>0.52200000000000002</v>
      </c>
    </row>
    <row r="214" spans="1:19" x14ac:dyDescent="0.2">
      <c r="A214" s="110"/>
      <c r="B214" s="105"/>
      <c r="C214" s="6" t="s">
        <v>8</v>
      </c>
      <c r="D214" s="7">
        <f>AVERAGE(D209:D213)</f>
        <v>74.917999999999992</v>
      </c>
      <c r="E214" s="7">
        <f>AVERAGE(E209:E213)</f>
        <v>75.022000000000006</v>
      </c>
      <c r="F214" s="35">
        <f t="shared" ref="F214:G214" si="64">AVERAGE(F209:F213)</f>
        <v>1087.8</v>
      </c>
      <c r="G214" s="34">
        <f t="shared" si="64"/>
        <v>0.51939999999999997</v>
      </c>
      <c r="H214" s="105"/>
      <c r="I214" s="6" t="s">
        <v>8</v>
      </c>
      <c r="J214" s="7">
        <f>AVERAGE(J209:J213)</f>
        <v>76.489999999999981</v>
      </c>
      <c r="K214" s="7">
        <f>AVERAGE(K209:K213)</f>
        <v>76.141999999999996</v>
      </c>
      <c r="L214" s="35">
        <f t="shared" ref="L214:M214" si="65">AVERAGE(L209:L213)</f>
        <v>1066.5999999999999</v>
      </c>
      <c r="M214" s="34">
        <f t="shared" si="65"/>
        <v>0.49980000000000002</v>
      </c>
      <c r="N214" s="105"/>
      <c r="O214" s="6" t="s">
        <v>8</v>
      </c>
      <c r="P214" s="7">
        <f>AVERAGE(P209:P213)</f>
        <v>77.501999999999995</v>
      </c>
      <c r="Q214" s="7">
        <f>AVERAGE(Q209:Q213)</f>
        <v>77.688000000000002</v>
      </c>
      <c r="R214" s="35">
        <f>AVERAGE(R209:R213)</f>
        <v>943.8</v>
      </c>
      <c r="S214" s="34">
        <f>AVERAGE(S209:S213)</f>
        <v>0.5222</v>
      </c>
    </row>
    <row r="215" spans="1:19" x14ac:dyDescent="0.2">
      <c r="A215" s="119">
        <v>1.4</v>
      </c>
      <c r="B215" s="105"/>
      <c r="C215" s="28">
        <v>13</v>
      </c>
      <c r="D215" s="25">
        <v>72.239999999999995</v>
      </c>
      <c r="E215" s="25">
        <v>75.959999999999994</v>
      </c>
      <c r="F215" s="25">
        <v>476</v>
      </c>
      <c r="G215" s="31">
        <v>0.66900000000000004</v>
      </c>
      <c r="H215" s="105"/>
      <c r="I215" s="28">
        <v>13</v>
      </c>
      <c r="J215" s="25">
        <v>75.760000000000005</v>
      </c>
      <c r="K215" s="25">
        <v>75.989999999999995</v>
      </c>
      <c r="L215" s="25">
        <v>1026</v>
      </c>
      <c r="M215" s="31">
        <v>0.52300000000000002</v>
      </c>
      <c r="N215" s="105"/>
      <c r="O215" s="28">
        <v>13</v>
      </c>
      <c r="P215" s="25">
        <v>76.599999999999994</v>
      </c>
      <c r="Q215" s="25">
        <v>77.36</v>
      </c>
      <c r="R215" s="25">
        <v>863</v>
      </c>
      <c r="S215" s="31">
        <v>0.54800000000000004</v>
      </c>
    </row>
    <row r="216" spans="1:19" x14ac:dyDescent="0.2">
      <c r="A216" s="109"/>
      <c r="B216" s="105"/>
      <c r="C216" s="29">
        <v>21</v>
      </c>
      <c r="D216" s="4">
        <v>71.61</v>
      </c>
      <c r="E216" s="4">
        <v>75.87</v>
      </c>
      <c r="F216" s="1">
        <v>398</v>
      </c>
      <c r="G216" s="8">
        <v>0.69</v>
      </c>
      <c r="H216" s="105"/>
      <c r="I216" s="29">
        <v>21</v>
      </c>
      <c r="J216" s="4">
        <v>74.849999999999994</v>
      </c>
      <c r="K216" s="4">
        <v>76.569999999999993</v>
      </c>
      <c r="L216" s="1">
        <v>751</v>
      </c>
      <c r="M216" s="8">
        <v>0.58699999999999997</v>
      </c>
      <c r="N216" s="105"/>
      <c r="O216" s="29">
        <v>21</v>
      </c>
      <c r="P216" s="4">
        <v>77.31</v>
      </c>
      <c r="Q216" s="4">
        <v>77.47</v>
      </c>
      <c r="R216" s="1">
        <v>959</v>
      </c>
      <c r="S216" s="8">
        <v>0.52100000000000002</v>
      </c>
    </row>
    <row r="217" spans="1:19" x14ac:dyDescent="0.2">
      <c r="A217" s="109"/>
      <c r="B217" s="105"/>
      <c r="C217" s="29">
        <v>47</v>
      </c>
      <c r="D217" s="4">
        <v>70.819999999999993</v>
      </c>
      <c r="E217" s="4">
        <v>75.569999999999993</v>
      </c>
      <c r="F217" s="1">
        <v>348</v>
      </c>
      <c r="G217" s="8">
        <v>0.70799999999999996</v>
      </c>
      <c r="H217" s="105"/>
      <c r="I217" s="29">
        <v>47</v>
      </c>
      <c r="J217" s="4">
        <v>76.67</v>
      </c>
      <c r="K217" s="4">
        <v>76.67</v>
      </c>
      <c r="L217" s="1">
        <v>1028</v>
      </c>
      <c r="M217" s="8">
        <v>0.51400000000000001</v>
      </c>
      <c r="N217" s="105"/>
      <c r="O217" s="29">
        <v>47</v>
      </c>
      <c r="P217" s="4">
        <v>77.41</v>
      </c>
      <c r="Q217" s="4">
        <v>78.12</v>
      </c>
      <c r="R217" s="1">
        <v>828</v>
      </c>
      <c r="S217" s="8">
        <v>0.54600000000000004</v>
      </c>
    </row>
    <row r="218" spans="1:19" x14ac:dyDescent="0.2">
      <c r="A218" s="109"/>
      <c r="B218" s="105"/>
      <c r="C218" s="29">
        <v>50</v>
      </c>
      <c r="D218" s="4">
        <v>69.66</v>
      </c>
      <c r="E218" s="4">
        <v>75.099999999999994</v>
      </c>
      <c r="F218" s="1">
        <v>286</v>
      </c>
      <c r="G218" s="8">
        <v>0.73199999999999998</v>
      </c>
      <c r="H218" s="105"/>
      <c r="I218" s="29">
        <v>50</v>
      </c>
      <c r="J218" s="4">
        <v>76.34</v>
      </c>
      <c r="K218" s="4">
        <v>76.95</v>
      </c>
      <c r="L218" s="1">
        <v>911</v>
      </c>
      <c r="M218" s="8">
        <v>0.54100000000000004</v>
      </c>
      <c r="N218" s="105"/>
      <c r="O218" s="29">
        <v>50</v>
      </c>
      <c r="P218" s="4">
        <v>77.849999999999994</v>
      </c>
      <c r="Q218" s="4">
        <v>77.180000000000007</v>
      </c>
      <c r="R218" s="1">
        <v>1015</v>
      </c>
      <c r="S218" s="8">
        <v>0.48499999999999999</v>
      </c>
    </row>
    <row r="219" spans="1:19" x14ac:dyDescent="0.2">
      <c r="A219" s="109"/>
      <c r="B219" s="105"/>
      <c r="C219" s="30">
        <v>91</v>
      </c>
      <c r="D219" s="27">
        <v>71.349999999999994</v>
      </c>
      <c r="E219" s="27">
        <v>75.739999999999995</v>
      </c>
      <c r="F219" s="26">
        <v>389</v>
      </c>
      <c r="G219" s="32">
        <v>0.69499999999999995</v>
      </c>
      <c r="H219" s="105"/>
      <c r="I219" s="30">
        <v>91</v>
      </c>
      <c r="J219" s="27">
        <v>76.38</v>
      </c>
      <c r="K219" s="27">
        <v>76.900000000000006</v>
      </c>
      <c r="L219" s="26">
        <v>930</v>
      </c>
      <c r="M219" s="32">
        <v>0.53600000000000003</v>
      </c>
      <c r="N219" s="105"/>
      <c r="O219" s="30">
        <v>91</v>
      </c>
      <c r="P219" s="27">
        <v>77.8</v>
      </c>
      <c r="Q219" s="27">
        <v>77.2</v>
      </c>
      <c r="R219" s="26">
        <v>1002</v>
      </c>
      <c r="S219" s="32">
        <v>0.48699999999999999</v>
      </c>
    </row>
    <row r="220" spans="1:19" x14ac:dyDescent="0.2">
      <c r="A220" s="110"/>
      <c r="B220" s="105"/>
      <c r="C220" s="6" t="s">
        <v>8</v>
      </c>
      <c r="D220" s="7">
        <f>AVERAGE(D215:D219)</f>
        <v>71.135999999999996</v>
      </c>
      <c r="E220" s="7">
        <f>AVERAGE(E215:E219)</f>
        <v>75.647999999999996</v>
      </c>
      <c r="F220" s="35">
        <f t="shared" ref="F220:G220" si="66">AVERAGE(F215:F219)</f>
        <v>379.4</v>
      </c>
      <c r="G220" s="34">
        <f t="shared" si="66"/>
        <v>0.69880000000000009</v>
      </c>
      <c r="H220" s="105"/>
      <c r="I220" s="6" t="s">
        <v>8</v>
      </c>
      <c r="J220" s="7">
        <f>AVERAGE(J215:J219)</f>
        <v>76</v>
      </c>
      <c r="K220" s="7">
        <f>AVERAGE(K215:K219)</f>
        <v>76.616000000000014</v>
      </c>
      <c r="L220" s="35">
        <f t="shared" ref="L220:M220" si="67">AVERAGE(L215:L219)</f>
        <v>929.2</v>
      </c>
      <c r="M220" s="34">
        <f t="shared" si="67"/>
        <v>0.54020000000000001</v>
      </c>
      <c r="N220" s="105"/>
      <c r="O220" s="6" t="s">
        <v>8</v>
      </c>
      <c r="P220" s="7">
        <f>AVERAGE(P215:P219)</f>
        <v>77.393999999999991</v>
      </c>
      <c r="Q220" s="7">
        <f>AVERAGE(Q215:Q219)</f>
        <v>77.465999999999994</v>
      </c>
      <c r="R220" s="35">
        <f>AVERAGE(R215:R219)</f>
        <v>933.4</v>
      </c>
      <c r="S220" s="34">
        <f>AVERAGE(S215:S219)</f>
        <v>0.51740000000000008</v>
      </c>
    </row>
    <row r="221" spans="1:19" x14ac:dyDescent="0.2">
      <c r="A221" s="119">
        <v>1.6</v>
      </c>
      <c r="B221" s="105"/>
      <c r="C221" s="28">
        <v>13</v>
      </c>
      <c r="D221" s="25">
        <v>52.43</v>
      </c>
      <c r="E221" s="25">
        <v>67.150000000000006</v>
      </c>
      <c r="F221" s="25">
        <v>0</v>
      </c>
      <c r="G221" s="31">
        <v>0.96199999999999997</v>
      </c>
      <c r="H221" s="105"/>
      <c r="I221" s="28">
        <v>13</v>
      </c>
      <c r="J221" s="25">
        <v>69.25</v>
      </c>
      <c r="K221" s="25">
        <v>74.73</v>
      </c>
      <c r="L221" s="25">
        <v>315</v>
      </c>
      <c r="M221" s="31">
        <v>0.73099999999999998</v>
      </c>
      <c r="N221" s="105"/>
      <c r="O221" s="28">
        <v>13</v>
      </c>
      <c r="P221" s="25">
        <v>75.98</v>
      </c>
      <c r="Q221" s="25">
        <v>76.680000000000007</v>
      </c>
      <c r="R221" s="25">
        <v>912</v>
      </c>
      <c r="S221" s="31">
        <v>0.54400000000000004</v>
      </c>
    </row>
    <row r="222" spans="1:19" x14ac:dyDescent="0.2">
      <c r="A222" s="109"/>
      <c r="B222" s="105"/>
      <c r="C222" s="29">
        <v>21</v>
      </c>
      <c r="D222" s="4">
        <v>53.62</v>
      </c>
      <c r="E222" s="4">
        <v>67.67</v>
      </c>
      <c r="F222" s="1">
        <v>6</v>
      </c>
      <c r="G222" s="8">
        <v>0.94899999999999995</v>
      </c>
      <c r="H222" s="105"/>
      <c r="I222" s="29">
        <v>21</v>
      </c>
      <c r="J222" s="4">
        <v>69.87</v>
      </c>
      <c r="K222" s="4">
        <v>74.55</v>
      </c>
      <c r="L222" s="1">
        <v>448</v>
      </c>
      <c r="M222" s="8">
        <v>0.69799999999999995</v>
      </c>
      <c r="N222" s="105"/>
      <c r="O222" s="29">
        <v>21</v>
      </c>
      <c r="P222" s="4">
        <v>76.03</v>
      </c>
      <c r="Q222" s="4">
        <v>77.48</v>
      </c>
      <c r="R222" s="1">
        <v>738</v>
      </c>
      <c r="S222" s="8">
        <v>0.57799999999999996</v>
      </c>
    </row>
    <row r="223" spans="1:19" x14ac:dyDescent="0.2">
      <c r="A223" s="109"/>
      <c r="B223" s="105"/>
      <c r="C223" s="29">
        <v>47</v>
      </c>
      <c r="D223" s="4">
        <v>56.79</v>
      </c>
      <c r="E223" s="4">
        <v>69.13</v>
      </c>
      <c r="F223" s="1">
        <v>22</v>
      </c>
      <c r="G223" s="8">
        <v>0.91400000000000003</v>
      </c>
      <c r="H223" s="105"/>
      <c r="I223" s="29">
        <v>47</v>
      </c>
      <c r="J223" s="4">
        <v>74.680000000000007</v>
      </c>
      <c r="K223" s="4">
        <v>76.91</v>
      </c>
      <c r="L223" s="1">
        <v>643</v>
      </c>
      <c r="M223" s="8">
        <v>0.61099999999999999</v>
      </c>
      <c r="N223" s="105"/>
      <c r="O223" s="29">
        <v>47</v>
      </c>
      <c r="P223" s="4">
        <v>77.180000000000007</v>
      </c>
      <c r="Q223" s="4">
        <v>77.98</v>
      </c>
      <c r="R223" s="1">
        <v>821</v>
      </c>
      <c r="S223" s="8">
        <v>0.55000000000000004</v>
      </c>
    </row>
    <row r="224" spans="1:19" x14ac:dyDescent="0.2">
      <c r="A224" s="109"/>
      <c r="B224" s="105"/>
      <c r="C224" s="29">
        <v>50</v>
      </c>
      <c r="D224" s="4">
        <v>53.61</v>
      </c>
      <c r="E224" s="4">
        <v>67.680000000000007</v>
      </c>
      <c r="F224" s="1">
        <v>4</v>
      </c>
      <c r="G224" s="8">
        <v>0.94899999999999995</v>
      </c>
      <c r="H224" s="105"/>
      <c r="I224" s="29">
        <v>50</v>
      </c>
      <c r="J224" s="4">
        <v>74.73</v>
      </c>
      <c r="K224" s="4">
        <v>77.02</v>
      </c>
      <c r="L224" s="1">
        <v>627</v>
      </c>
      <c r="M224" s="8">
        <v>0.61299999999999999</v>
      </c>
      <c r="N224" s="105"/>
      <c r="O224" s="29">
        <v>50</v>
      </c>
      <c r="P224" s="4">
        <v>77</v>
      </c>
      <c r="Q224" s="4">
        <v>77.900000000000006</v>
      </c>
      <c r="R224" s="1">
        <v>808</v>
      </c>
      <c r="S224" s="8">
        <v>0.55500000000000005</v>
      </c>
    </row>
    <row r="225" spans="1:19" x14ac:dyDescent="0.2">
      <c r="A225" s="109"/>
      <c r="B225" s="105"/>
      <c r="C225" s="30">
        <v>91</v>
      </c>
      <c r="D225" s="27">
        <v>57.66</v>
      </c>
      <c r="E225" s="27">
        <v>69.540000000000006</v>
      </c>
      <c r="F225" s="26">
        <v>29</v>
      </c>
      <c r="G225" s="32">
        <v>0.90400000000000003</v>
      </c>
      <c r="H225" s="105"/>
      <c r="I225" s="30">
        <v>91</v>
      </c>
      <c r="J225" s="27">
        <v>72.91</v>
      </c>
      <c r="K225" s="27">
        <v>76.45</v>
      </c>
      <c r="L225" s="26">
        <v>463</v>
      </c>
      <c r="M225" s="32">
        <v>0.66400000000000003</v>
      </c>
      <c r="N225" s="105"/>
      <c r="O225" s="30">
        <v>91</v>
      </c>
      <c r="P225" s="27">
        <v>76.98</v>
      </c>
      <c r="Q225" s="27">
        <v>78</v>
      </c>
      <c r="R225" s="26">
        <v>781</v>
      </c>
      <c r="S225" s="32">
        <v>0.56000000000000005</v>
      </c>
    </row>
    <row r="226" spans="1:19" x14ac:dyDescent="0.2">
      <c r="A226" s="110"/>
      <c r="B226" s="105"/>
      <c r="C226" s="6" t="s">
        <v>8</v>
      </c>
      <c r="D226" s="7">
        <f>AVERAGE(D221:D225)</f>
        <v>54.822000000000003</v>
      </c>
      <c r="E226" s="7">
        <f>AVERAGE(E221:E225)</f>
        <v>68.234000000000009</v>
      </c>
      <c r="F226" s="35">
        <f t="shared" ref="F226:G226" si="68">AVERAGE(F221:F225)</f>
        <v>12.2</v>
      </c>
      <c r="G226" s="34">
        <f t="shared" si="68"/>
        <v>0.93559999999999999</v>
      </c>
      <c r="H226" s="105"/>
      <c r="I226" s="6" t="s">
        <v>8</v>
      </c>
      <c r="J226" s="7">
        <f>AVERAGE(J221:J225)</f>
        <v>72.288000000000011</v>
      </c>
      <c r="K226" s="7">
        <f>AVERAGE(K221:K225)</f>
        <v>75.931999999999988</v>
      </c>
      <c r="L226" s="35">
        <f t="shared" ref="L226:M226" si="69">AVERAGE(L221:L225)</f>
        <v>499.2</v>
      </c>
      <c r="M226" s="34">
        <f t="shared" si="69"/>
        <v>0.66339999999999999</v>
      </c>
      <c r="N226" s="105"/>
      <c r="O226" s="6" t="s">
        <v>8</v>
      </c>
      <c r="P226" s="7">
        <f>AVERAGE(P221:P225)</f>
        <v>76.634</v>
      </c>
      <c r="Q226" s="7">
        <f>AVERAGE(Q221:Q225)</f>
        <v>77.608000000000018</v>
      </c>
      <c r="R226" s="35">
        <f>AVERAGE(R221:R225)</f>
        <v>812</v>
      </c>
      <c r="S226" s="34">
        <f>AVERAGE(S221:S225)</f>
        <v>0.55740000000000001</v>
      </c>
    </row>
    <row r="227" spans="1:19" x14ac:dyDescent="0.2">
      <c r="A227" s="119">
        <v>1.8</v>
      </c>
      <c r="B227" s="105"/>
      <c r="C227" s="28">
        <v>13</v>
      </c>
      <c r="D227" s="25">
        <v>48.97</v>
      </c>
      <c r="E227" s="25">
        <v>65.58</v>
      </c>
      <c r="F227" s="25">
        <v>0</v>
      </c>
      <c r="G227" s="31">
        <v>0.996</v>
      </c>
      <c r="H227" s="105"/>
      <c r="I227" s="28">
        <v>13</v>
      </c>
      <c r="J227" s="25">
        <v>61.25</v>
      </c>
      <c r="K227" s="25">
        <v>71.19</v>
      </c>
      <c r="L227" s="25">
        <v>74</v>
      </c>
      <c r="M227" s="31">
        <v>0.85899999999999999</v>
      </c>
      <c r="N227" s="105"/>
      <c r="O227" s="28">
        <v>13</v>
      </c>
      <c r="P227" s="25">
        <v>73.62</v>
      </c>
      <c r="Q227" s="25">
        <v>76.45</v>
      </c>
      <c r="R227" s="25">
        <v>579</v>
      </c>
      <c r="S227" s="31">
        <v>0.63400000000000001</v>
      </c>
    </row>
    <row r="228" spans="1:19" x14ac:dyDescent="0.2">
      <c r="A228" s="109"/>
      <c r="B228" s="105"/>
      <c r="C228" s="29">
        <v>21</v>
      </c>
      <c r="D228" s="4">
        <v>49.13</v>
      </c>
      <c r="E228" s="4">
        <v>65.650000000000006</v>
      </c>
      <c r="F228" s="1">
        <v>0</v>
      </c>
      <c r="G228" s="8">
        <v>0.995</v>
      </c>
      <c r="H228" s="105"/>
      <c r="I228" s="29">
        <v>21</v>
      </c>
      <c r="J228" s="4">
        <v>63.9</v>
      </c>
      <c r="K228" s="4">
        <v>72.44</v>
      </c>
      <c r="L228" s="1">
        <v>116</v>
      </c>
      <c r="M228" s="8">
        <v>0.82399999999999995</v>
      </c>
      <c r="N228" s="105"/>
      <c r="O228" s="29">
        <v>21</v>
      </c>
      <c r="P228" s="4">
        <v>73.459999999999994</v>
      </c>
      <c r="Q228" s="4">
        <v>75.98</v>
      </c>
      <c r="R228" s="1">
        <v>664</v>
      </c>
      <c r="S228" s="8">
        <v>0.61899999999999999</v>
      </c>
    </row>
    <row r="229" spans="1:19" x14ac:dyDescent="0.2">
      <c r="A229" s="109"/>
      <c r="B229" s="105"/>
      <c r="C229" s="29">
        <v>47</v>
      </c>
      <c r="D229" s="4">
        <v>49.38</v>
      </c>
      <c r="E229" s="4">
        <v>65.760000000000005</v>
      </c>
      <c r="F229" s="1">
        <v>0</v>
      </c>
      <c r="G229" s="8">
        <v>0.99199999999999999</v>
      </c>
      <c r="H229" s="105"/>
      <c r="I229" s="29">
        <v>47</v>
      </c>
      <c r="J229" s="4">
        <v>62.03</v>
      </c>
      <c r="K229" s="4">
        <v>71.34</v>
      </c>
      <c r="L229" s="1">
        <v>136</v>
      </c>
      <c r="M229" s="8">
        <v>0.83899999999999997</v>
      </c>
      <c r="N229" s="105"/>
      <c r="O229" s="29">
        <v>47</v>
      </c>
      <c r="P229" s="4">
        <v>73.05</v>
      </c>
      <c r="Q229" s="4">
        <v>76.099999999999994</v>
      </c>
      <c r="R229" s="1">
        <v>570</v>
      </c>
      <c r="S229" s="8">
        <v>0.64200000000000002</v>
      </c>
    </row>
    <row r="230" spans="1:19" x14ac:dyDescent="0.2">
      <c r="A230" s="109"/>
      <c r="B230" s="105"/>
      <c r="C230" s="29">
        <v>50</v>
      </c>
      <c r="D230" s="4">
        <v>49.03</v>
      </c>
      <c r="E230" s="4">
        <v>65.599999999999994</v>
      </c>
      <c r="F230" s="1">
        <v>0</v>
      </c>
      <c r="G230" s="8">
        <v>0.996</v>
      </c>
      <c r="H230" s="105"/>
      <c r="I230" s="29">
        <v>50</v>
      </c>
      <c r="J230" s="4">
        <v>63.87</v>
      </c>
      <c r="K230" s="4">
        <v>72.34</v>
      </c>
      <c r="L230" s="1">
        <v>137</v>
      </c>
      <c r="M230" s="8">
        <v>0.82</v>
      </c>
      <c r="N230" s="105"/>
      <c r="O230" s="29">
        <v>50</v>
      </c>
      <c r="P230" s="4">
        <v>71.37</v>
      </c>
      <c r="Q230" s="4">
        <v>75.33</v>
      </c>
      <c r="R230" s="1">
        <v>490</v>
      </c>
      <c r="S230" s="8">
        <v>0.67400000000000004</v>
      </c>
    </row>
    <row r="231" spans="1:19" x14ac:dyDescent="0.2">
      <c r="A231" s="109"/>
      <c r="B231" s="105"/>
      <c r="C231" s="30">
        <v>91</v>
      </c>
      <c r="D231" s="27">
        <v>49.07</v>
      </c>
      <c r="E231" s="27">
        <v>65.62</v>
      </c>
      <c r="F231" s="26">
        <v>0</v>
      </c>
      <c r="G231" s="32">
        <v>0.995</v>
      </c>
      <c r="H231" s="105"/>
      <c r="I231" s="30">
        <v>91</v>
      </c>
      <c r="J231" s="27">
        <v>66.23</v>
      </c>
      <c r="K231" s="27">
        <v>73.540000000000006</v>
      </c>
      <c r="L231" s="26">
        <v>168</v>
      </c>
      <c r="M231" s="32">
        <v>0.79</v>
      </c>
      <c r="N231" s="105"/>
      <c r="O231" s="30">
        <v>91</v>
      </c>
      <c r="P231" s="27">
        <v>73.400000000000006</v>
      </c>
      <c r="Q231" s="27">
        <v>76.75</v>
      </c>
      <c r="R231" s="26">
        <v>471</v>
      </c>
      <c r="S231" s="32">
        <v>0.65800000000000003</v>
      </c>
    </row>
    <row r="232" spans="1:19" x14ac:dyDescent="0.2">
      <c r="A232" s="110"/>
      <c r="B232" s="105"/>
      <c r="C232" s="6" t="s">
        <v>8</v>
      </c>
      <c r="D232" s="7">
        <f>AVERAGE(D227:D231)</f>
        <v>49.116</v>
      </c>
      <c r="E232" s="7">
        <f>AVERAGE(E227:E231)</f>
        <v>65.64200000000001</v>
      </c>
      <c r="F232" s="35">
        <f t="shared" ref="F232:G232" si="70">AVERAGE(F227:F231)</f>
        <v>0</v>
      </c>
      <c r="G232" s="34">
        <f t="shared" si="70"/>
        <v>0.99480000000000002</v>
      </c>
      <c r="H232" s="105"/>
      <c r="I232" s="6" t="s">
        <v>8</v>
      </c>
      <c r="J232" s="7">
        <f>AVERAGE(J227:J231)</f>
        <v>63.456000000000003</v>
      </c>
      <c r="K232" s="7">
        <f>AVERAGE(K227:K231)</f>
        <v>72.17</v>
      </c>
      <c r="L232" s="35">
        <f t="shared" ref="L232:M232" si="71">AVERAGE(L227:L231)</f>
        <v>126.2</v>
      </c>
      <c r="M232" s="34">
        <f t="shared" si="71"/>
        <v>0.82639999999999991</v>
      </c>
      <c r="N232" s="105"/>
      <c r="O232" s="6" t="s">
        <v>8</v>
      </c>
      <c r="P232" s="7">
        <f>AVERAGE(P227:P231)</f>
        <v>72.97999999999999</v>
      </c>
      <c r="Q232" s="7">
        <f>AVERAGE(Q227:Q231)</f>
        <v>76.122</v>
      </c>
      <c r="R232" s="35">
        <f>AVERAGE(R227:R231)</f>
        <v>554.79999999999995</v>
      </c>
      <c r="S232" s="34">
        <f>AVERAGE(S227:S231)</f>
        <v>0.64539999999999997</v>
      </c>
    </row>
    <row r="233" spans="1:19" x14ac:dyDescent="0.2">
      <c r="A233" s="119">
        <v>2</v>
      </c>
      <c r="B233" s="105"/>
      <c r="C233" s="28">
        <v>13</v>
      </c>
      <c r="D233" s="25">
        <v>48.61</v>
      </c>
      <c r="E233" s="25">
        <v>65.42</v>
      </c>
      <c r="F233" s="25">
        <v>0</v>
      </c>
      <c r="G233" s="31">
        <v>1</v>
      </c>
      <c r="H233" s="105"/>
      <c r="I233" s="28">
        <v>13</v>
      </c>
      <c r="J233" s="25">
        <v>51.58</v>
      </c>
      <c r="K233" s="25">
        <v>66.75</v>
      </c>
      <c r="L233" s="25">
        <v>1</v>
      </c>
      <c r="M233" s="31">
        <v>0.97</v>
      </c>
      <c r="N233" s="105"/>
      <c r="O233" s="28">
        <v>13</v>
      </c>
      <c r="P233" s="25">
        <v>54.48</v>
      </c>
      <c r="Q233" s="25">
        <v>68.040000000000006</v>
      </c>
      <c r="R233" s="25">
        <v>15</v>
      </c>
      <c r="S233" s="31">
        <v>0.93799999999999994</v>
      </c>
    </row>
    <row r="234" spans="1:19" x14ac:dyDescent="0.2">
      <c r="A234" s="109"/>
      <c r="B234" s="105"/>
      <c r="C234" s="29">
        <v>21</v>
      </c>
      <c r="D234" s="4">
        <v>48.62</v>
      </c>
      <c r="E234" s="4">
        <v>65.42</v>
      </c>
      <c r="F234" s="1">
        <v>0</v>
      </c>
      <c r="G234" s="8">
        <v>0.999</v>
      </c>
      <c r="H234" s="105"/>
      <c r="I234" s="29">
        <v>21</v>
      </c>
      <c r="J234" s="4">
        <v>53.71</v>
      </c>
      <c r="K234" s="4">
        <v>67.72</v>
      </c>
      <c r="L234" s="1">
        <v>6</v>
      </c>
      <c r="M234" s="8">
        <v>0.94799999999999995</v>
      </c>
      <c r="N234" s="105"/>
      <c r="O234" s="29">
        <v>21</v>
      </c>
      <c r="P234" s="4">
        <v>54.16</v>
      </c>
      <c r="Q234" s="4">
        <v>67.75</v>
      </c>
      <c r="R234" s="1">
        <v>47</v>
      </c>
      <c r="S234" s="8">
        <v>0.93500000000000005</v>
      </c>
    </row>
    <row r="235" spans="1:19" x14ac:dyDescent="0.2">
      <c r="A235" s="109"/>
      <c r="B235" s="105"/>
      <c r="C235" s="29">
        <v>47</v>
      </c>
      <c r="D235" s="4">
        <v>48.62</v>
      </c>
      <c r="E235" s="4">
        <v>65.42</v>
      </c>
      <c r="F235" s="1">
        <v>0</v>
      </c>
      <c r="G235" s="8">
        <v>0.999</v>
      </c>
      <c r="H235" s="105"/>
      <c r="I235" s="29">
        <v>47</v>
      </c>
      <c r="J235" s="4">
        <v>53.44</v>
      </c>
      <c r="K235" s="4">
        <v>67.59</v>
      </c>
      <c r="L235" s="1">
        <v>6</v>
      </c>
      <c r="M235" s="8">
        <v>0.95099999999999996</v>
      </c>
      <c r="N235" s="105"/>
      <c r="O235" s="29">
        <v>47</v>
      </c>
      <c r="P235" s="4">
        <v>61</v>
      </c>
      <c r="Q235" s="4">
        <v>71.040000000000006</v>
      </c>
      <c r="R235" s="1">
        <v>78</v>
      </c>
      <c r="S235" s="8">
        <v>0.86099999999999999</v>
      </c>
    </row>
    <row r="236" spans="1:19" x14ac:dyDescent="0.2">
      <c r="A236" s="109"/>
      <c r="B236" s="105"/>
      <c r="C236" s="29">
        <v>50</v>
      </c>
      <c r="D236" s="4">
        <v>48.62</v>
      </c>
      <c r="E236" s="4">
        <v>65.42</v>
      </c>
      <c r="F236" s="1">
        <v>0</v>
      </c>
      <c r="G236" s="8">
        <v>0.999</v>
      </c>
      <c r="H236" s="105"/>
      <c r="I236" s="29">
        <v>50</v>
      </c>
      <c r="J236" s="4">
        <v>50.84</v>
      </c>
      <c r="K236" s="4">
        <v>66.42</v>
      </c>
      <c r="L236" s="1">
        <v>0</v>
      </c>
      <c r="M236" s="8">
        <v>0.97799999999999998</v>
      </c>
      <c r="N236" s="105"/>
      <c r="O236" s="29">
        <v>50</v>
      </c>
      <c r="P236" s="4">
        <v>48.88</v>
      </c>
      <c r="Q236" s="4">
        <v>65.52</v>
      </c>
      <c r="R236" s="1">
        <v>4</v>
      </c>
      <c r="S236" s="8">
        <v>0.997</v>
      </c>
    </row>
    <row r="237" spans="1:19" x14ac:dyDescent="0.2">
      <c r="A237" s="109"/>
      <c r="B237" s="105"/>
      <c r="C237" s="30">
        <v>91</v>
      </c>
      <c r="D237" s="27">
        <v>48.62</v>
      </c>
      <c r="E237" s="27">
        <v>65.42</v>
      </c>
      <c r="F237" s="26">
        <v>0</v>
      </c>
      <c r="G237" s="32">
        <v>0.999</v>
      </c>
      <c r="H237" s="105"/>
      <c r="I237" s="30">
        <v>91</v>
      </c>
      <c r="J237" s="27">
        <v>53.04</v>
      </c>
      <c r="K237" s="27">
        <v>67.400000000000006</v>
      </c>
      <c r="L237" s="26">
        <v>6</v>
      </c>
      <c r="M237" s="32">
        <v>0.95499999999999996</v>
      </c>
      <c r="N237" s="105"/>
      <c r="O237" s="30">
        <v>91</v>
      </c>
      <c r="P237" s="27">
        <v>50.82</v>
      </c>
      <c r="Q237" s="27">
        <v>66.36</v>
      </c>
      <c r="R237" s="26">
        <v>11</v>
      </c>
      <c r="S237" s="32">
        <v>0.97599999999999998</v>
      </c>
    </row>
    <row r="238" spans="1:19" x14ac:dyDescent="0.2">
      <c r="A238" s="110"/>
      <c r="B238" s="106"/>
      <c r="C238" s="6" t="s">
        <v>8</v>
      </c>
      <c r="D238" s="7">
        <f>AVERAGE(D233:D237)</f>
        <v>48.618000000000002</v>
      </c>
      <c r="E238" s="7">
        <f>AVERAGE(E233:E237)</f>
        <v>65.42</v>
      </c>
      <c r="F238" s="35">
        <f t="shared" ref="F238:G238" si="72">AVERAGE(F233:F237)</f>
        <v>0</v>
      </c>
      <c r="G238" s="34">
        <f t="shared" si="72"/>
        <v>0.99920000000000009</v>
      </c>
      <c r="H238" s="106"/>
      <c r="I238" s="6" t="s">
        <v>8</v>
      </c>
      <c r="J238" s="7">
        <f>AVERAGE(J233:J237)</f>
        <v>52.522000000000006</v>
      </c>
      <c r="K238" s="7">
        <f>AVERAGE(K233:K237)</f>
        <v>67.176000000000002</v>
      </c>
      <c r="L238" s="35">
        <f t="shared" ref="L238:M238" si="73">AVERAGE(L233:L237)</f>
        <v>3.8</v>
      </c>
      <c r="M238" s="34">
        <f t="shared" si="73"/>
        <v>0.96039999999999992</v>
      </c>
      <c r="N238" s="106"/>
      <c r="O238" s="6" t="s">
        <v>8</v>
      </c>
      <c r="P238" s="7">
        <f>AVERAGE(P233:P237)</f>
        <v>53.867999999999995</v>
      </c>
      <c r="Q238" s="7">
        <f>AVERAGE(Q233:Q237)</f>
        <v>67.742000000000004</v>
      </c>
      <c r="R238" s="35">
        <f t="shared" ref="R238:S238" si="74">AVERAGE(R233:R237)</f>
        <v>31</v>
      </c>
      <c r="S238" s="34">
        <f t="shared" si="74"/>
        <v>0.94140000000000001</v>
      </c>
    </row>
    <row r="240" spans="1:19" x14ac:dyDescent="0.2">
      <c r="A240" s="38" t="s">
        <v>26</v>
      </c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</row>
    <row r="242" spans="2:19" s="21" customFormat="1" x14ac:dyDescent="0.2">
      <c r="B242" s="107" t="s">
        <v>0</v>
      </c>
      <c r="C242" s="108"/>
      <c r="D242" s="108"/>
      <c r="E242" s="108"/>
      <c r="F242" s="108"/>
      <c r="G242" s="111"/>
      <c r="H242" s="107" t="s">
        <v>1</v>
      </c>
      <c r="I242" s="108"/>
      <c r="J242" s="108"/>
      <c r="K242" s="108"/>
      <c r="L242" s="108"/>
      <c r="M242" s="111"/>
      <c r="N242" s="107" t="s">
        <v>2</v>
      </c>
      <c r="O242" s="108"/>
      <c r="P242" s="108"/>
      <c r="Q242" s="108"/>
      <c r="R242" s="108"/>
      <c r="S242" s="111"/>
    </row>
    <row r="243" spans="2:19" s="21" customFormat="1" x14ac:dyDescent="0.2">
      <c r="B243" s="47" t="s">
        <v>3</v>
      </c>
      <c r="C243" s="39" t="s">
        <v>23</v>
      </c>
      <c r="D243" s="25" t="s">
        <v>27</v>
      </c>
      <c r="E243" s="25" t="s">
        <v>7</v>
      </c>
      <c r="F243" s="25" t="s">
        <v>24</v>
      </c>
      <c r="G243" s="31" t="s">
        <v>25</v>
      </c>
      <c r="H243" s="47" t="s">
        <v>3</v>
      </c>
      <c r="I243" s="39" t="s">
        <v>23</v>
      </c>
      <c r="J243" s="25" t="s">
        <v>27</v>
      </c>
      <c r="K243" s="25" t="s">
        <v>7</v>
      </c>
      <c r="L243" s="25" t="s">
        <v>24</v>
      </c>
      <c r="M243" s="31" t="s">
        <v>25</v>
      </c>
      <c r="N243" s="47" t="s">
        <v>3</v>
      </c>
      <c r="O243" s="39" t="s">
        <v>23</v>
      </c>
      <c r="P243" s="25" t="s">
        <v>27</v>
      </c>
      <c r="Q243" s="25" t="s">
        <v>7</v>
      </c>
      <c r="R243" s="25" t="s">
        <v>24</v>
      </c>
      <c r="S243" s="31" t="s">
        <v>25</v>
      </c>
    </row>
    <row r="244" spans="2:19" s="21" customFormat="1" x14ac:dyDescent="0.2">
      <c r="B244" s="100">
        <v>8</v>
      </c>
      <c r="C244" s="39">
        <v>1</v>
      </c>
      <c r="D244" s="40">
        <f>D168</f>
        <v>72.341999999999999</v>
      </c>
      <c r="E244" s="40">
        <f t="shared" ref="E244:G244" si="75">E168</f>
        <v>71.822000000000003</v>
      </c>
      <c r="F244" s="41">
        <f t="shared" si="75"/>
        <v>1333</v>
      </c>
      <c r="G244" s="48">
        <f t="shared" si="75"/>
        <v>0.496</v>
      </c>
      <c r="H244" s="100">
        <v>8</v>
      </c>
      <c r="I244" s="39">
        <v>1</v>
      </c>
      <c r="J244" s="40">
        <f>J168</f>
        <v>72.751999999999995</v>
      </c>
      <c r="K244" s="40">
        <f t="shared" ref="K244:M244" si="76">K168</f>
        <v>72.488</v>
      </c>
      <c r="L244" s="41">
        <f t="shared" si="76"/>
        <v>1268.2</v>
      </c>
      <c r="M244" s="48">
        <f t="shared" si="76"/>
        <v>0.52480000000000004</v>
      </c>
      <c r="N244" s="100">
        <v>8</v>
      </c>
      <c r="O244" s="39">
        <v>1</v>
      </c>
      <c r="P244" s="40">
        <f>P168</f>
        <v>73.53</v>
      </c>
      <c r="Q244" s="40">
        <f t="shared" ref="Q244:S244" si="77">Q168</f>
        <v>73.666000000000011</v>
      </c>
      <c r="R244" s="41">
        <f t="shared" si="77"/>
        <v>1148.4000000000001</v>
      </c>
      <c r="S244" s="48">
        <f t="shared" si="77"/>
        <v>0.52139999999999997</v>
      </c>
    </row>
    <row r="245" spans="2:19" s="21" customFormat="1" x14ac:dyDescent="0.2">
      <c r="B245" s="103"/>
      <c r="C245" s="21">
        <v>1.2</v>
      </c>
      <c r="D245" s="42">
        <f>D174</f>
        <v>71.28</v>
      </c>
      <c r="E245" s="42">
        <f t="shared" ref="E245:G245" si="78">E174</f>
        <v>71.448000000000008</v>
      </c>
      <c r="F245" s="43">
        <f t="shared" si="78"/>
        <v>1258.4000000000001</v>
      </c>
      <c r="G245" s="49">
        <f t="shared" si="78"/>
        <v>0.52200000000000002</v>
      </c>
      <c r="H245" s="103"/>
      <c r="I245" s="21">
        <v>1.2</v>
      </c>
      <c r="J245" s="42">
        <f>J174</f>
        <v>72.765999999999991</v>
      </c>
      <c r="K245" s="42">
        <f t="shared" ref="K245:M245" si="79">K174</f>
        <v>72.784000000000006</v>
      </c>
      <c r="L245" s="43">
        <f t="shared" si="79"/>
        <v>1220.4000000000001</v>
      </c>
      <c r="M245" s="49">
        <f t="shared" si="79"/>
        <v>0.51460000000000006</v>
      </c>
      <c r="N245" s="103"/>
      <c r="O245" s="21">
        <v>1.2</v>
      </c>
      <c r="P245" s="42">
        <f>P174</f>
        <v>73.304000000000002</v>
      </c>
      <c r="Q245" s="42">
        <f t="shared" ref="Q245:S245" si="80">Q174</f>
        <v>74.321999999999989</v>
      </c>
      <c r="R245" s="43">
        <f t="shared" si="80"/>
        <v>997</v>
      </c>
      <c r="S245" s="49">
        <f t="shared" si="80"/>
        <v>0.55360000000000009</v>
      </c>
    </row>
    <row r="246" spans="2:19" s="21" customFormat="1" x14ac:dyDescent="0.2">
      <c r="B246" s="103"/>
      <c r="C246" s="21">
        <v>1.4</v>
      </c>
      <c r="D246" s="42">
        <f>D180</f>
        <v>69.572000000000003</v>
      </c>
      <c r="E246" s="42">
        <f t="shared" ref="E246:G246" si="81">E180</f>
        <v>73.451999999999998</v>
      </c>
      <c r="F246" s="43">
        <f t="shared" si="81"/>
        <v>646</v>
      </c>
      <c r="G246" s="49">
        <f t="shared" si="81"/>
        <v>0.6614000000000001</v>
      </c>
      <c r="H246" s="103"/>
      <c r="I246" s="21">
        <v>1.4</v>
      </c>
      <c r="J246" s="42">
        <f>J180</f>
        <v>72.41</v>
      </c>
      <c r="K246" s="42">
        <f t="shared" ref="K246:M246" si="82">K180</f>
        <v>73.246000000000009</v>
      </c>
      <c r="L246" s="43">
        <f t="shared" si="82"/>
        <v>1079.4000000000001</v>
      </c>
      <c r="M246" s="49">
        <f t="shared" si="82"/>
        <v>0.54620000000000002</v>
      </c>
      <c r="N246" s="103"/>
      <c r="O246" s="21">
        <v>1.4</v>
      </c>
      <c r="P246" s="42">
        <f>P180</f>
        <v>74.725999999999999</v>
      </c>
      <c r="Q246" s="42">
        <f t="shared" ref="Q246:S246" si="83">Q180</f>
        <v>76.328000000000003</v>
      </c>
      <c r="R246" s="43">
        <f t="shared" si="83"/>
        <v>779.4</v>
      </c>
      <c r="S246" s="49">
        <f t="shared" si="83"/>
        <v>0.58299999999999996</v>
      </c>
    </row>
    <row r="247" spans="2:19" s="21" customFormat="1" x14ac:dyDescent="0.2">
      <c r="B247" s="103"/>
      <c r="C247" s="21">
        <v>1.6</v>
      </c>
      <c r="D247" s="42">
        <f>D186</f>
        <v>63.989999999999995</v>
      </c>
      <c r="E247" s="42">
        <f t="shared" ref="E247:G247" si="84">E186</f>
        <v>72.234000000000009</v>
      </c>
      <c r="F247" s="43">
        <f t="shared" si="84"/>
        <v>180.2</v>
      </c>
      <c r="G247" s="49">
        <f t="shared" si="84"/>
        <v>0.81040000000000012</v>
      </c>
      <c r="H247" s="103"/>
      <c r="I247" s="21">
        <v>1.6</v>
      </c>
      <c r="J247" s="42">
        <f>J186</f>
        <v>70.496000000000009</v>
      </c>
      <c r="K247" s="42">
        <f t="shared" ref="K247:M247" si="85">K186</f>
        <v>73.99799999999999</v>
      </c>
      <c r="L247" s="43">
        <f t="shared" si="85"/>
        <v>661.6</v>
      </c>
      <c r="M247" s="49">
        <f t="shared" si="85"/>
        <v>0.64879999999999993</v>
      </c>
      <c r="N247" s="103"/>
      <c r="O247" s="21">
        <v>1.6</v>
      </c>
      <c r="P247" s="42">
        <f>P186</f>
        <v>72.756</v>
      </c>
      <c r="Q247" s="42">
        <f t="shared" ref="Q247:S247" si="86">Q186</f>
        <v>75.666000000000011</v>
      </c>
      <c r="R247" s="43">
        <f t="shared" si="86"/>
        <v>615.6</v>
      </c>
      <c r="S247" s="49">
        <f t="shared" si="86"/>
        <v>0.63540000000000008</v>
      </c>
    </row>
    <row r="248" spans="2:19" s="21" customFormat="1" x14ac:dyDescent="0.2">
      <c r="B248" s="103"/>
      <c r="C248" s="21">
        <v>1.8</v>
      </c>
      <c r="D248" s="42">
        <f>D192</f>
        <v>52.244000000000007</v>
      </c>
      <c r="E248" s="42">
        <f t="shared" ref="E248:G248" si="87">E192</f>
        <v>67.035999999999987</v>
      </c>
      <c r="F248" s="43">
        <f t="shared" si="87"/>
        <v>7.6</v>
      </c>
      <c r="G248" s="49">
        <f t="shared" si="87"/>
        <v>0.96219999999999994</v>
      </c>
      <c r="H248" s="103"/>
      <c r="I248" s="21">
        <v>1.8</v>
      </c>
      <c r="J248" s="42">
        <f>J192</f>
        <v>64.775999999999996</v>
      </c>
      <c r="K248" s="42">
        <f t="shared" ref="K248:M248" si="88">K192</f>
        <v>72.725999999999999</v>
      </c>
      <c r="L248" s="43">
        <f t="shared" si="88"/>
        <v>166.2</v>
      </c>
      <c r="M248" s="49">
        <f t="shared" si="88"/>
        <v>0.80499999999999994</v>
      </c>
      <c r="N248" s="103"/>
      <c r="O248" s="21">
        <v>1.8</v>
      </c>
      <c r="P248" s="42">
        <f>P192</f>
        <v>67.783999999999992</v>
      </c>
      <c r="Q248" s="42">
        <f t="shared" ref="Q248:S248" si="89">Q192</f>
        <v>73.533999999999992</v>
      </c>
      <c r="R248" s="43">
        <f t="shared" si="89"/>
        <v>382.2</v>
      </c>
      <c r="S248" s="49">
        <f t="shared" si="89"/>
        <v>0.73180000000000001</v>
      </c>
    </row>
    <row r="249" spans="2:19" s="21" customFormat="1" x14ac:dyDescent="0.2">
      <c r="B249" s="101"/>
      <c r="C249" s="44">
        <v>2</v>
      </c>
      <c r="D249" s="45">
        <f>D198</f>
        <v>48.730000000000004</v>
      </c>
      <c r="E249" s="45">
        <f t="shared" ref="E249:G249" si="90">E198</f>
        <v>65.472000000000008</v>
      </c>
      <c r="F249" s="46">
        <f t="shared" si="90"/>
        <v>0</v>
      </c>
      <c r="G249" s="50">
        <f t="shared" si="90"/>
        <v>0.99879999999999991</v>
      </c>
      <c r="H249" s="101"/>
      <c r="I249" s="44">
        <v>2</v>
      </c>
      <c r="J249" s="45">
        <f>J198</f>
        <v>52.573999999999998</v>
      </c>
      <c r="K249" s="45">
        <f t="shared" ref="K249:M249" si="91">K198</f>
        <v>67.194000000000003</v>
      </c>
      <c r="L249" s="46">
        <f t="shared" si="91"/>
        <v>4.4000000000000004</v>
      </c>
      <c r="M249" s="50">
        <f t="shared" si="91"/>
        <v>0.95940000000000014</v>
      </c>
      <c r="N249" s="101"/>
      <c r="O249" s="44">
        <v>2</v>
      </c>
      <c r="P249" s="45">
        <f>P198</f>
        <v>54.238</v>
      </c>
      <c r="Q249" s="45">
        <f t="shared" ref="Q249:S249" si="92">Q198</f>
        <v>67.943999999999988</v>
      </c>
      <c r="R249" s="46">
        <f t="shared" si="92"/>
        <v>26.8</v>
      </c>
      <c r="S249" s="50">
        <f t="shared" si="92"/>
        <v>0.93840000000000001</v>
      </c>
    </row>
    <row r="250" spans="2:19" s="21" customFormat="1" x14ac:dyDescent="0.2">
      <c r="B250" s="100">
        <v>16</v>
      </c>
      <c r="C250" s="39">
        <v>1</v>
      </c>
      <c r="D250" s="40">
        <f>D208</f>
        <v>74.667999999999992</v>
      </c>
      <c r="E250" s="40">
        <f>E208</f>
        <v>74.804000000000002</v>
      </c>
      <c r="F250" s="41">
        <f>F208</f>
        <v>1101</v>
      </c>
      <c r="G250" s="57">
        <f>G208</f>
        <v>0.51919999999999999</v>
      </c>
      <c r="H250" s="100">
        <v>16</v>
      </c>
      <c r="I250" s="39">
        <v>1</v>
      </c>
      <c r="J250" s="40">
        <f>J208</f>
        <v>76.939999999999984</v>
      </c>
      <c r="K250" s="40">
        <f>K208</f>
        <v>76.507999999999996</v>
      </c>
      <c r="L250" s="43">
        <f>L208</f>
        <v>1105.2</v>
      </c>
      <c r="M250" s="49">
        <f>M208</f>
        <v>0.49559999999999993</v>
      </c>
      <c r="N250" s="100">
        <v>16</v>
      </c>
      <c r="O250" s="39">
        <v>1</v>
      </c>
      <c r="P250" s="40">
        <f>P208</f>
        <v>77.821999999999989</v>
      </c>
      <c r="Q250" s="40">
        <f>Q208</f>
        <v>77.820000000000007</v>
      </c>
      <c r="R250" s="43">
        <f>R208</f>
        <v>968.2</v>
      </c>
      <c r="S250" s="53">
        <f>S208</f>
        <v>0.5069999999999999</v>
      </c>
    </row>
    <row r="251" spans="2:19" s="21" customFormat="1" x14ac:dyDescent="0.2">
      <c r="B251" s="103"/>
      <c r="C251" s="21">
        <v>1.2</v>
      </c>
      <c r="D251" s="42">
        <f>D214</f>
        <v>74.917999999999992</v>
      </c>
      <c r="E251" s="42">
        <f>E214</f>
        <v>75.022000000000006</v>
      </c>
      <c r="F251" s="43">
        <f>F214</f>
        <v>1087.8</v>
      </c>
      <c r="G251" s="49">
        <f>G214</f>
        <v>0.51939999999999997</v>
      </c>
      <c r="H251" s="103"/>
      <c r="I251" s="21">
        <v>1.2</v>
      </c>
      <c r="J251" s="42">
        <f>J214</f>
        <v>76.489999999999981</v>
      </c>
      <c r="K251" s="42">
        <f>K214</f>
        <v>76.141999999999996</v>
      </c>
      <c r="L251" s="43">
        <f>L214</f>
        <v>1066.5999999999999</v>
      </c>
      <c r="M251" s="49">
        <f>M214</f>
        <v>0.49980000000000002</v>
      </c>
      <c r="N251" s="103"/>
      <c r="O251" s="21">
        <v>1.2</v>
      </c>
      <c r="P251" s="42">
        <f>P214</f>
        <v>77.501999999999995</v>
      </c>
      <c r="Q251" s="42">
        <f>Q214</f>
        <v>77.688000000000002</v>
      </c>
      <c r="R251" s="43">
        <f>R214</f>
        <v>943.8</v>
      </c>
      <c r="S251" s="49">
        <f>S214</f>
        <v>0.5222</v>
      </c>
    </row>
    <row r="252" spans="2:19" s="21" customFormat="1" x14ac:dyDescent="0.2">
      <c r="B252" s="103"/>
      <c r="C252" s="21">
        <v>1.4</v>
      </c>
      <c r="D252" s="42">
        <f>D220</f>
        <v>71.135999999999996</v>
      </c>
      <c r="E252" s="42">
        <f>E220</f>
        <v>75.647999999999996</v>
      </c>
      <c r="F252" s="43">
        <f>F220</f>
        <v>379.4</v>
      </c>
      <c r="G252" s="49">
        <f>G220</f>
        <v>0.69880000000000009</v>
      </c>
      <c r="H252" s="103"/>
      <c r="I252" s="21">
        <v>1.4</v>
      </c>
      <c r="J252" s="42">
        <f>J220</f>
        <v>76</v>
      </c>
      <c r="K252" s="42">
        <f>K220</f>
        <v>76.616000000000014</v>
      </c>
      <c r="L252" s="43">
        <f>L220</f>
        <v>929.2</v>
      </c>
      <c r="M252" s="49">
        <f>M220</f>
        <v>0.54020000000000001</v>
      </c>
      <c r="N252" s="103"/>
      <c r="O252" s="21">
        <v>1.4</v>
      </c>
      <c r="P252" s="42">
        <f>P220</f>
        <v>77.393999999999991</v>
      </c>
      <c r="Q252" s="42">
        <f>Q220</f>
        <v>77.465999999999994</v>
      </c>
      <c r="R252" s="43">
        <f>R220</f>
        <v>933.4</v>
      </c>
      <c r="S252" s="49">
        <f>S220</f>
        <v>0.51740000000000008</v>
      </c>
    </row>
    <row r="253" spans="2:19" s="21" customFormat="1" x14ac:dyDescent="0.2">
      <c r="B253" s="103"/>
      <c r="C253" s="21">
        <v>1.6</v>
      </c>
      <c r="D253" s="42">
        <f>D226</f>
        <v>54.822000000000003</v>
      </c>
      <c r="E253" s="42">
        <f>E226</f>
        <v>68.234000000000009</v>
      </c>
      <c r="F253" s="43">
        <f>F226</f>
        <v>12.2</v>
      </c>
      <c r="G253" s="49">
        <f>G226</f>
        <v>0.93559999999999999</v>
      </c>
      <c r="H253" s="103"/>
      <c r="I253" s="21">
        <v>1.6</v>
      </c>
      <c r="J253" s="42">
        <f>J226</f>
        <v>72.288000000000011</v>
      </c>
      <c r="K253" s="42">
        <f>K226</f>
        <v>75.931999999999988</v>
      </c>
      <c r="L253" s="43">
        <f>L226</f>
        <v>499.2</v>
      </c>
      <c r="M253" s="49">
        <f>M226</f>
        <v>0.66339999999999999</v>
      </c>
      <c r="N253" s="103"/>
      <c r="O253" s="21">
        <v>1.6</v>
      </c>
      <c r="P253" s="42">
        <f>P226</f>
        <v>76.634</v>
      </c>
      <c r="Q253" s="42">
        <f>Q226</f>
        <v>77.608000000000018</v>
      </c>
      <c r="R253" s="43">
        <f>R226</f>
        <v>812</v>
      </c>
      <c r="S253" s="49">
        <f>S226</f>
        <v>0.55740000000000001</v>
      </c>
    </row>
    <row r="254" spans="2:19" x14ac:dyDescent="0.2">
      <c r="B254" s="103"/>
      <c r="C254" s="21">
        <v>1.8</v>
      </c>
      <c r="D254" s="42">
        <f>D232</f>
        <v>49.116</v>
      </c>
      <c r="E254" s="42">
        <f>E232</f>
        <v>65.64200000000001</v>
      </c>
      <c r="F254" s="43">
        <f>F232</f>
        <v>0</v>
      </c>
      <c r="G254" s="49">
        <f>G232</f>
        <v>0.99480000000000002</v>
      </c>
      <c r="H254" s="103"/>
      <c r="I254" s="21">
        <v>1.8</v>
      </c>
      <c r="J254" s="42">
        <f>J232</f>
        <v>63.456000000000003</v>
      </c>
      <c r="K254" s="42">
        <f>K232</f>
        <v>72.17</v>
      </c>
      <c r="L254" s="43">
        <f>L232</f>
        <v>126.2</v>
      </c>
      <c r="M254" s="49">
        <f>M232</f>
        <v>0.82639999999999991</v>
      </c>
      <c r="N254" s="103"/>
      <c r="O254" s="21">
        <v>1.8</v>
      </c>
      <c r="P254" s="42">
        <f>P232</f>
        <v>72.97999999999999</v>
      </c>
      <c r="Q254" s="42">
        <f>Q232</f>
        <v>76.122</v>
      </c>
      <c r="R254" s="43">
        <f>R232</f>
        <v>554.79999999999995</v>
      </c>
      <c r="S254" s="49">
        <f>S232</f>
        <v>0.64539999999999997</v>
      </c>
    </row>
    <row r="255" spans="2:19" x14ac:dyDescent="0.2">
      <c r="B255" s="101"/>
      <c r="C255" s="44">
        <v>2</v>
      </c>
      <c r="D255" s="45">
        <f>D238</f>
        <v>48.618000000000002</v>
      </c>
      <c r="E255" s="45">
        <f>E238</f>
        <v>65.42</v>
      </c>
      <c r="F255" s="46">
        <f>F238</f>
        <v>0</v>
      </c>
      <c r="G255" s="50">
        <f>G238</f>
        <v>0.99920000000000009</v>
      </c>
      <c r="H255" s="101"/>
      <c r="I255" s="44">
        <v>2</v>
      </c>
      <c r="J255" s="45">
        <f>J238</f>
        <v>52.522000000000006</v>
      </c>
      <c r="K255" s="45">
        <f>K238</f>
        <v>67.176000000000002</v>
      </c>
      <c r="L255" s="46">
        <f>L238</f>
        <v>3.8</v>
      </c>
      <c r="M255" s="50">
        <f>M238</f>
        <v>0.96039999999999992</v>
      </c>
      <c r="N255" s="101"/>
      <c r="O255" s="44">
        <v>2</v>
      </c>
      <c r="P255" s="45">
        <f>P238</f>
        <v>53.867999999999995</v>
      </c>
      <c r="Q255" s="45">
        <f>Q238</f>
        <v>67.742000000000004</v>
      </c>
      <c r="R255" s="46">
        <f>R238</f>
        <v>31</v>
      </c>
      <c r="S255" s="50">
        <f>S238</f>
        <v>0.94140000000000001</v>
      </c>
    </row>
    <row r="257" spans="1:19" x14ac:dyDescent="0.2">
      <c r="F257" s="1">
        <f>(F244-F246)/F244</f>
        <v>0.51537884471117779</v>
      </c>
      <c r="G257" s="1">
        <f>(F250-F252)/F250</f>
        <v>0.65540417801998185</v>
      </c>
    </row>
    <row r="258" spans="1:19" x14ac:dyDescent="0.2">
      <c r="A258" s="120" t="s">
        <v>23</v>
      </c>
      <c r="B258" s="107" t="s">
        <v>15</v>
      </c>
      <c r="C258" s="108"/>
      <c r="D258" s="108"/>
      <c r="E258" s="108"/>
      <c r="F258" s="108"/>
      <c r="G258" s="111"/>
      <c r="H258" s="107" t="s">
        <v>16</v>
      </c>
      <c r="I258" s="108"/>
      <c r="J258" s="108"/>
      <c r="K258" s="108"/>
      <c r="L258" s="108"/>
      <c r="M258" s="111"/>
      <c r="N258" s="107" t="s">
        <v>17</v>
      </c>
      <c r="O258" s="108"/>
      <c r="P258" s="108"/>
      <c r="Q258" s="108"/>
      <c r="R258" s="108"/>
      <c r="S258" s="111"/>
    </row>
    <row r="259" spans="1:19" x14ac:dyDescent="0.2">
      <c r="A259" s="121"/>
      <c r="B259" s="19" t="s">
        <v>3</v>
      </c>
      <c r="C259" s="1" t="s">
        <v>4</v>
      </c>
      <c r="D259" s="1" t="s">
        <v>6</v>
      </c>
      <c r="E259" s="2" t="s">
        <v>7</v>
      </c>
      <c r="F259" s="1" t="s">
        <v>24</v>
      </c>
      <c r="G259" s="8" t="s">
        <v>25</v>
      </c>
      <c r="H259" s="19" t="s">
        <v>3</v>
      </c>
      <c r="I259" s="1" t="s">
        <v>4</v>
      </c>
      <c r="J259" s="1" t="s">
        <v>6</v>
      </c>
      <c r="K259" s="2" t="s">
        <v>7</v>
      </c>
      <c r="L259" s="1" t="s">
        <v>24</v>
      </c>
      <c r="M259" s="8" t="s">
        <v>25</v>
      </c>
      <c r="N259" s="19" t="s">
        <v>3</v>
      </c>
      <c r="O259" s="1" t="s">
        <v>4</v>
      </c>
      <c r="P259" s="1" t="s">
        <v>6</v>
      </c>
      <c r="Q259" s="2" t="s">
        <v>7</v>
      </c>
      <c r="R259" s="1" t="s">
        <v>24</v>
      </c>
      <c r="S259" s="8" t="s">
        <v>25</v>
      </c>
    </row>
    <row r="260" spans="1:19" x14ac:dyDescent="0.2">
      <c r="A260" s="122">
        <v>1</v>
      </c>
      <c r="B260" s="104">
        <v>8</v>
      </c>
      <c r="C260" s="28">
        <v>13</v>
      </c>
      <c r="D260" s="25">
        <v>72.12</v>
      </c>
      <c r="E260" s="4">
        <v>70.8</v>
      </c>
      <c r="F260" s="25">
        <v>1297</v>
      </c>
      <c r="G260" s="36">
        <v>0.45500000000000002</v>
      </c>
      <c r="H260" s="104">
        <v>8</v>
      </c>
      <c r="I260" s="28">
        <v>13</v>
      </c>
      <c r="J260" s="25">
        <v>75.08</v>
      </c>
      <c r="K260" s="4">
        <v>73.930000000000007</v>
      </c>
      <c r="L260" s="25">
        <v>1172</v>
      </c>
      <c r="M260" s="31">
        <v>0.45600000000000002</v>
      </c>
      <c r="N260" s="104">
        <v>8</v>
      </c>
      <c r="O260" s="28">
        <v>13</v>
      </c>
      <c r="P260" s="25">
        <v>77.53</v>
      </c>
      <c r="Q260" s="1">
        <v>77.42</v>
      </c>
      <c r="R260" s="25">
        <v>917</v>
      </c>
      <c r="S260" s="31">
        <v>0.496</v>
      </c>
    </row>
    <row r="261" spans="1:19" x14ac:dyDescent="0.2">
      <c r="A261" s="123"/>
      <c r="B261" s="105"/>
      <c r="C261" s="29">
        <v>21</v>
      </c>
      <c r="D261" s="4">
        <v>71.900000000000006</v>
      </c>
      <c r="E261" s="4">
        <v>70.84</v>
      </c>
      <c r="F261" s="1">
        <v>1269</v>
      </c>
      <c r="G261" s="8">
        <v>0.46400000000000002</v>
      </c>
      <c r="H261" s="105"/>
      <c r="I261" s="29">
        <v>21</v>
      </c>
      <c r="J261" s="4">
        <v>76.09</v>
      </c>
      <c r="K261" s="4">
        <v>74.58</v>
      </c>
      <c r="L261" s="1">
        <v>1194</v>
      </c>
      <c r="M261" s="8">
        <v>0.441</v>
      </c>
      <c r="N261" s="105"/>
      <c r="O261" s="29">
        <v>21</v>
      </c>
      <c r="P261" s="4">
        <v>77.459999999999994</v>
      </c>
      <c r="Q261" s="4">
        <v>77.02</v>
      </c>
      <c r="R261" s="1">
        <v>979</v>
      </c>
      <c r="S261" s="8">
        <v>0.48099999999999998</v>
      </c>
    </row>
    <row r="262" spans="1:19" x14ac:dyDescent="0.2">
      <c r="A262" s="123"/>
      <c r="B262" s="105"/>
      <c r="C262" s="29">
        <v>47</v>
      </c>
      <c r="D262" s="4">
        <v>71.58</v>
      </c>
      <c r="E262" s="4">
        <v>70.64</v>
      </c>
      <c r="F262" s="1">
        <v>1264</v>
      </c>
      <c r="G262" s="8">
        <v>0.46800000000000003</v>
      </c>
      <c r="H262" s="105"/>
      <c r="I262" s="29">
        <v>47</v>
      </c>
      <c r="J262" s="4">
        <v>75.45</v>
      </c>
      <c r="K262" s="4">
        <v>74.290000000000006</v>
      </c>
      <c r="L262" s="1">
        <v>1162</v>
      </c>
      <c r="M262" s="8">
        <v>0.45500000000000002</v>
      </c>
      <c r="N262" s="105"/>
      <c r="O262" s="29">
        <v>47</v>
      </c>
      <c r="P262" s="4">
        <v>77.44</v>
      </c>
      <c r="Q262" s="4">
        <v>77.03</v>
      </c>
      <c r="R262" s="1">
        <v>973</v>
      </c>
      <c r="S262" s="8">
        <v>0.48199999999999998</v>
      </c>
    </row>
    <row r="263" spans="1:19" x14ac:dyDescent="0.2">
      <c r="A263" s="123"/>
      <c r="B263" s="105"/>
      <c r="C263" s="29">
        <v>50</v>
      </c>
      <c r="D263" s="4">
        <v>72.900000000000006</v>
      </c>
      <c r="E263" s="4">
        <v>71.98</v>
      </c>
      <c r="F263" s="1">
        <v>1215</v>
      </c>
      <c r="G263" s="8">
        <v>0.46700000000000003</v>
      </c>
      <c r="H263" s="105"/>
      <c r="I263" s="29">
        <v>50</v>
      </c>
      <c r="J263" s="4">
        <v>75.19</v>
      </c>
      <c r="K263" s="4">
        <v>74.38</v>
      </c>
      <c r="L263" s="1">
        <v>1118</v>
      </c>
      <c r="M263" s="33">
        <v>0.46899999999999997</v>
      </c>
      <c r="N263" s="105"/>
      <c r="O263" s="29">
        <v>50</v>
      </c>
      <c r="P263" s="4">
        <v>76.3</v>
      </c>
      <c r="Q263" s="4">
        <v>75.14</v>
      </c>
      <c r="R263" s="1">
        <v>1134</v>
      </c>
      <c r="S263" s="8">
        <v>0.45400000000000001</v>
      </c>
    </row>
    <row r="264" spans="1:19" x14ac:dyDescent="0.2">
      <c r="A264" s="123"/>
      <c r="B264" s="105"/>
      <c r="C264" s="30">
        <v>91</v>
      </c>
      <c r="D264" s="27">
        <v>72.510000000000005</v>
      </c>
      <c r="E264" s="27">
        <v>71.3</v>
      </c>
      <c r="F264" s="26">
        <v>1268</v>
      </c>
      <c r="G264" s="32">
        <v>0.45800000000000002</v>
      </c>
      <c r="H264" s="105"/>
      <c r="I264" s="30">
        <v>91</v>
      </c>
      <c r="J264" s="27">
        <v>76.14</v>
      </c>
      <c r="K264" s="27">
        <v>75.47</v>
      </c>
      <c r="L264" s="26">
        <v>1063</v>
      </c>
      <c r="M264" s="32">
        <v>0.47299999999999998</v>
      </c>
      <c r="N264" s="105"/>
      <c r="O264" s="30">
        <v>91</v>
      </c>
      <c r="P264" s="27">
        <v>77.459999999999994</v>
      </c>
      <c r="Q264" s="27">
        <v>76.34</v>
      </c>
      <c r="R264" s="26">
        <v>1091</v>
      </c>
      <c r="S264" s="32">
        <v>0.45300000000000001</v>
      </c>
    </row>
    <row r="265" spans="1:19" x14ac:dyDescent="0.2">
      <c r="A265" s="121"/>
      <c r="B265" s="105"/>
      <c r="C265" s="6" t="s">
        <v>8</v>
      </c>
      <c r="D265" s="7">
        <f>AVERAGE(D260:D264)</f>
        <v>72.201999999999998</v>
      </c>
      <c r="E265" s="7">
        <f>AVERAGE(E260:E264)</f>
        <v>71.111999999999995</v>
      </c>
      <c r="F265" s="35">
        <f>AVERAGE(F260:F264)</f>
        <v>1262.5999999999999</v>
      </c>
      <c r="G265" s="34">
        <f>AVERAGE(G260:G264)</f>
        <v>0.46240000000000003</v>
      </c>
      <c r="H265" s="105"/>
      <c r="I265" s="6" t="s">
        <v>8</v>
      </c>
      <c r="J265" s="7">
        <f>AVERAGE(J260:J264)</f>
        <v>75.59</v>
      </c>
      <c r="K265" s="7">
        <f>AVERAGE(K260:K264)</f>
        <v>74.53</v>
      </c>
      <c r="L265" s="35">
        <f>AVERAGE(L260:L264)</f>
        <v>1141.8</v>
      </c>
      <c r="M265" s="34">
        <f>AVERAGE(M260:M264)</f>
        <v>0.45879999999999999</v>
      </c>
      <c r="N265" s="105"/>
      <c r="O265" s="6" t="s">
        <v>8</v>
      </c>
      <c r="P265" s="7">
        <f>AVERAGE(P260:P264)</f>
        <v>77.238</v>
      </c>
      <c r="Q265" s="7">
        <f>AVERAGE(Q260:Q264)</f>
        <v>76.59</v>
      </c>
      <c r="R265" s="35">
        <f>AVERAGE(R260:R264)</f>
        <v>1018.8</v>
      </c>
      <c r="S265" s="34">
        <f>AVERAGE(S260:S264)</f>
        <v>0.47320000000000001</v>
      </c>
    </row>
    <row r="266" spans="1:19" x14ac:dyDescent="0.2">
      <c r="A266" s="119">
        <v>1.2</v>
      </c>
      <c r="B266" s="105"/>
      <c r="C266" s="28">
        <v>13</v>
      </c>
      <c r="D266" s="25">
        <v>71.31</v>
      </c>
      <c r="E266" s="25">
        <v>70.959999999999994</v>
      </c>
      <c r="F266" s="25">
        <v>1186</v>
      </c>
      <c r="G266" s="31">
        <v>0.49099999999999999</v>
      </c>
      <c r="H266" s="105"/>
      <c r="I266" s="28">
        <v>13</v>
      </c>
      <c r="J266" s="25">
        <v>74.64</v>
      </c>
      <c r="K266" s="25">
        <v>75.61</v>
      </c>
      <c r="L266" s="25">
        <v>855</v>
      </c>
      <c r="M266" s="36">
        <v>0.54</v>
      </c>
      <c r="N266" s="105"/>
      <c r="O266" s="28">
        <v>13</v>
      </c>
      <c r="P266" s="25">
        <v>77.14</v>
      </c>
      <c r="Q266" s="25">
        <v>77.14</v>
      </c>
      <c r="R266" s="25">
        <v>914</v>
      </c>
      <c r="S266" s="31">
        <v>0.5</v>
      </c>
    </row>
    <row r="267" spans="1:19" x14ac:dyDescent="0.2">
      <c r="A267" s="109"/>
      <c r="B267" s="105"/>
      <c r="C267" s="29">
        <v>21</v>
      </c>
      <c r="D267" s="4">
        <v>71.81</v>
      </c>
      <c r="E267" s="4">
        <v>71.31</v>
      </c>
      <c r="F267" s="1">
        <v>1197</v>
      </c>
      <c r="G267" s="33">
        <v>0.48299999999999998</v>
      </c>
      <c r="H267" s="105"/>
      <c r="I267" s="29">
        <v>21</v>
      </c>
      <c r="J267" s="4">
        <v>76.290000000000006</v>
      </c>
      <c r="K267" s="4">
        <v>76.05</v>
      </c>
      <c r="L267" s="1">
        <v>988</v>
      </c>
      <c r="M267" s="33">
        <v>0.49</v>
      </c>
      <c r="N267" s="105"/>
      <c r="O267" s="29">
        <v>21</v>
      </c>
      <c r="P267" s="4">
        <v>77.14</v>
      </c>
      <c r="Q267" s="4">
        <v>76.489999999999995</v>
      </c>
      <c r="R267" s="1">
        <v>1024</v>
      </c>
      <c r="S267" s="8">
        <v>0.47299999999999998</v>
      </c>
    </row>
    <row r="268" spans="1:19" x14ac:dyDescent="0.2">
      <c r="A268" s="109"/>
      <c r="B268" s="105"/>
      <c r="C268" s="29">
        <v>47</v>
      </c>
      <c r="D268" s="4">
        <v>71.59</v>
      </c>
      <c r="E268" s="4">
        <v>71.760000000000005</v>
      </c>
      <c r="F268" s="1">
        <v>1112</v>
      </c>
      <c r="G268" s="8">
        <v>0.50600000000000001</v>
      </c>
      <c r="H268" s="105"/>
      <c r="I268" s="29">
        <v>47</v>
      </c>
      <c r="J268" s="4">
        <v>75.099999999999994</v>
      </c>
      <c r="K268" s="4">
        <v>74.23</v>
      </c>
      <c r="L268" s="1">
        <v>1131</v>
      </c>
      <c r="M268" s="8">
        <v>0.46600000000000003</v>
      </c>
      <c r="N268" s="105"/>
      <c r="O268" s="29">
        <v>47</v>
      </c>
      <c r="P268" s="4">
        <v>76.98</v>
      </c>
      <c r="Q268" s="4">
        <v>76.63</v>
      </c>
      <c r="R268" s="1">
        <v>980</v>
      </c>
      <c r="S268" s="8">
        <v>0.48499999999999999</v>
      </c>
    </row>
    <row r="269" spans="1:19" x14ac:dyDescent="0.2">
      <c r="A269" s="109"/>
      <c r="B269" s="105"/>
      <c r="C269" s="29">
        <v>50</v>
      </c>
      <c r="D269" s="4">
        <v>72.775000000000006</v>
      </c>
      <c r="E269" s="4">
        <v>72.78</v>
      </c>
      <c r="F269" s="1">
        <v>1124</v>
      </c>
      <c r="G269" s="8">
        <v>0.49099999999999999</v>
      </c>
      <c r="H269" s="105"/>
      <c r="I269" s="29">
        <v>50</v>
      </c>
      <c r="J269" s="4">
        <v>75.510000000000005</v>
      </c>
      <c r="K269" s="4">
        <v>75.09</v>
      </c>
      <c r="L269" s="1">
        <v>1047</v>
      </c>
      <c r="M269" s="33">
        <v>0.48299999999999998</v>
      </c>
      <c r="N269" s="105"/>
      <c r="O269" s="29">
        <v>50</v>
      </c>
      <c r="P269" s="4">
        <v>75.52</v>
      </c>
      <c r="Q269" s="4">
        <v>74.84</v>
      </c>
      <c r="R269" s="1">
        <v>1086</v>
      </c>
      <c r="S269" s="8">
        <v>0.47299999999999998</v>
      </c>
    </row>
    <row r="270" spans="1:19" x14ac:dyDescent="0.2">
      <c r="A270" s="109"/>
      <c r="B270" s="105"/>
      <c r="C270" s="30">
        <v>91</v>
      </c>
      <c r="D270" s="27">
        <v>72.739999999999995</v>
      </c>
      <c r="E270" s="27">
        <v>71.25</v>
      </c>
      <c r="F270" s="26">
        <v>1298</v>
      </c>
      <c r="G270" s="32">
        <v>0.44800000000000001</v>
      </c>
      <c r="H270" s="105"/>
      <c r="I270" s="30">
        <v>91</v>
      </c>
      <c r="J270" s="27">
        <v>76.010000000000005</v>
      </c>
      <c r="K270" s="27">
        <v>75.989999999999995</v>
      </c>
      <c r="L270" s="26">
        <v>963</v>
      </c>
      <c r="M270" s="32">
        <v>0.499</v>
      </c>
      <c r="N270" s="105"/>
      <c r="O270" s="30">
        <v>91</v>
      </c>
      <c r="P270" s="27">
        <v>76.64</v>
      </c>
      <c r="Q270" s="27">
        <v>76.53</v>
      </c>
      <c r="R270" s="26">
        <v>953</v>
      </c>
      <c r="S270" s="32">
        <v>0.495</v>
      </c>
    </row>
    <row r="271" spans="1:19" x14ac:dyDescent="0.2">
      <c r="A271" s="110"/>
      <c r="B271" s="105"/>
      <c r="C271" s="6" t="s">
        <v>8</v>
      </c>
      <c r="D271" s="7">
        <f>AVERAGE(D266:D270)</f>
        <v>72.045000000000002</v>
      </c>
      <c r="E271" s="7">
        <f>AVERAGE(E266:E270)</f>
        <v>71.611999999999995</v>
      </c>
      <c r="F271" s="35">
        <f>AVERAGE(F266:F270)</f>
        <v>1183.4000000000001</v>
      </c>
      <c r="G271" s="34">
        <f>AVERAGE(G266:G270)</f>
        <v>0.48380000000000001</v>
      </c>
      <c r="H271" s="105"/>
      <c r="I271" s="6" t="s">
        <v>8</v>
      </c>
      <c r="J271" s="7">
        <f>AVERAGE(J266:J270)</f>
        <v>75.510000000000005</v>
      </c>
      <c r="K271" s="7">
        <f>AVERAGE(K266:K270)</f>
        <v>75.394000000000005</v>
      </c>
      <c r="L271" s="35">
        <f>AVERAGE(L266:L270)</f>
        <v>996.8</v>
      </c>
      <c r="M271" s="34">
        <f>AVERAGE(M266:M270)</f>
        <v>0.49560000000000004</v>
      </c>
      <c r="N271" s="105"/>
      <c r="O271" s="6" t="s">
        <v>8</v>
      </c>
      <c r="P271" s="7">
        <f>AVERAGE(P266:P270)</f>
        <v>76.683999999999997</v>
      </c>
      <c r="Q271" s="7">
        <f>AVERAGE(Q266:Q270)</f>
        <v>76.325999999999993</v>
      </c>
      <c r="R271" s="35">
        <f>AVERAGE(R266:R270)</f>
        <v>991.4</v>
      </c>
      <c r="S271" s="34">
        <f>AVERAGE(S266:S270)</f>
        <v>0.48520000000000002</v>
      </c>
    </row>
    <row r="272" spans="1:19" x14ac:dyDescent="0.2">
      <c r="A272" s="119">
        <v>1.4</v>
      </c>
      <c r="B272" s="105"/>
      <c r="C272" s="28">
        <v>13</v>
      </c>
      <c r="D272" s="25">
        <v>69.540000000000006</v>
      </c>
      <c r="E272" s="25">
        <v>73.150000000000006</v>
      </c>
      <c r="F272" s="25">
        <v>681</v>
      </c>
      <c r="G272" s="31">
        <v>0.63400000000000001</v>
      </c>
      <c r="H272" s="105"/>
      <c r="I272" s="28">
        <v>13</v>
      </c>
      <c r="J272" s="25">
        <v>76.010000000000005</v>
      </c>
      <c r="K272" s="25">
        <v>75.989999999999995</v>
      </c>
      <c r="L272" s="25">
        <v>963</v>
      </c>
      <c r="M272" s="36">
        <v>0.499</v>
      </c>
      <c r="N272" s="105"/>
      <c r="O272" s="28">
        <v>13</v>
      </c>
      <c r="P272" s="51">
        <v>76.989999999999995</v>
      </c>
      <c r="Q272" s="25">
        <v>76.17</v>
      </c>
      <c r="R272" s="25">
        <v>1058</v>
      </c>
      <c r="S272" s="31">
        <v>0.46600000000000003</v>
      </c>
    </row>
    <row r="273" spans="1:19" x14ac:dyDescent="0.2">
      <c r="A273" s="109"/>
      <c r="B273" s="105"/>
      <c r="C273" s="29">
        <v>21</v>
      </c>
      <c r="D273" s="4">
        <v>66.25</v>
      </c>
      <c r="E273" s="4">
        <v>71.78</v>
      </c>
      <c r="F273" s="1">
        <v>566</v>
      </c>
      <c r="G273" s="33">
        <v>0.69599999999999995</v>
      </c>
      <c r="H273" s="105"/>
      <c r="I273" s="29">
        <v>21</v>
      </c>
      <c r="J273" s="4">
        <v>74.52</v>
      </c>
      <c r="K273" s="4">
        <v>74.680000000000007</v>
      </c>
      <c r="L273" s="1">
        <v>994</v>
      </c>
      <c r="M273" s="8">
        <v>0.50600000000000001</v>
      </c>
      <c r="N273" s="105"/>
      <c r="O273" s="29">
        <v>21</v>
      </c>
      <c r="P273" s="4">
        <v>77.180000000000007</v>
      </c>
      <c r="Q273" s="4">
        <v>76.760000000000005</v>
      </c>
      <c r="R273" s="1">
        <v>984</v>
      </c>
      <c r="S273" s="8">
        <v>0.48199999999999998</v>
      </c>
    </row>
    <row r="274" spans="1:19" x14ac:dyDescent="0.2">
      <c r="A274" s="109"/>
      <c r="B274" s="105"/>
      <c r="C274" s="29">
        <v>47</v>
      </c>
      <c r="D274" s="4">
        <v>66.94</v>
      </c>
      <c r="E274" s="4">
        <v>72.45</v>
      </c>
      <c r="F274" s="1">
        <v>523</v>
      </c>
      <c r="G274" s="33">
        <v>0.7</v>
      </c>
      <c r="H274" s="105"/>
      <c r="I274" s="29">
        <v>47</v>
      </c>
      <c r="J274" s="4">
        <v>75.19</v>
      </c>
      <c r="K274" s="4">
        <v>75.64</v>
      </c>
      <c r="L274" s="1">
        <v>919</v>
      </c>
      <c r="M274" s="8">
        <v>0.51800000000000002</v>
      </c>
      <c r="N274" s="105"/>
      <c r="O274" s="29">
        <v>47</v>
      </c>
      <c r="P274" s="4">
        <v>76.98</v>
      </c>
      <c r="Q274" s="4">
        <v>76.86</v>
      </c>
      <c r="R274" s="1">
        <v>941</v>
      </c>
      <c r="S274" s="8">
        <v>0.495</v>
      </c>
    </row>
    <row r="275" spans="1:19" x14ac:dyDescent="0.2">
      <c r="A275" s="109"/>
      <c r="B275" s="105"/>
      <c r="C275" s="29">
        <v>50</v>
      </c>
      <c r="D275" s="4">
        <v>71.06</v>
      </c>
      <c r="E275" s="4">
        <v>73.61</v>
      </c>
      <c r="F275" s="1">
        <v>772</v>
      </c>
      <c r="G275" s="8">
        <v>0.59599999999999997</v>
      </c>
      <c r="H275" s="105"/>
      <c r="I275" s="29">
        <v>50</v>
      </c>
      <c r="J275" s="4">
        <v>74.489999999999995</v>
      </c>
      <c r="K275" s="4">
        <v>74.319999999999993</v>
      </c>
      <c r="L275" s="1">
        <v>1047</v>
      </c>
      <c r="M275" s="8">
        <v>0.49299999999999999</v>
      </c>
      <c r="N275" s="105"/>
      <c r="O275" s="29">
        <v>50</v>
      </c>
      <c r="P275" s="4">
        <v>76.510000000000005</v>
      </c>
      <c r="Q275" s="4">
        <v>76.53</v>
      </c>
      <c r="R275" s="1">
        <v>936</v>
      </c>
      <c r="S275" s="8">
        <v>0.501</v>
      </c>
    </row>
    <row r="276" spans="1:19" x14ac:dyDescent="0.2">
      <c r="A276" s="109"/>
      <c r="B276" s="105"/>
      <c r="C276" s="30">
        <v>91</v>
      </c>
      <c r="D276" s="27">
        <v>68.290000000000006</v>
      </c>
      <c r="E276" s="27">
        <v>72.760000000000005</v>
      </c>
      <c r="F276" s="26">
        <v>611</v>
      </c>
      <c r="G276" s="32">
        <v>0.66400000000000003</v>
      </c>
      <c r="H276" s="105"/>
      <c r="I276" s="30">
        <v>91</v>
      </c>
      <c r="J276" s="27">
        <v>75.56</v>
      </c>
      <c r="K276" s="27">
        <v>75.09</v>
      </c>
      <c r="L276" s="26">
        <v>1053</v>
      </c>
      <c r="M276" s="32">
        <v>0.48099999999999998</v>
      </c>
      <c r="N276" s="105"/>
      <c r="O276" s="30">
        <v>91</v>
      </c>
      <c r="P276" s="27">
        <v>76.489999999999995</v>
      </c>
      <c r="Q276" s="27">
        <v>76.22</v>
      </c>
      <c r="R276" s="26">
        <v>985</v>
      </c>
      <c r="S276" s="32">
        <v>0.48899999999999999</v>
      </c>
    </row>
    <row r="277" spans="1:19" x14ac:dyDescent="0.2">
      <c r="A277" s="110"/>
      <c r="B277" s="105"/>
      <c r="C277" s="6" t="s">
        <v>8</v>
      </c>
      <c r="D277" s="7">
        <f>AVERAGE(D272:D276)</f>
        <v>68.416000000000011</v>
      </c>
      <c r="E277" s="7">
        <f>AVERAGE(E272:E276)</f>
        <v>72.75</v>
      </c>
      <c r="F277" s="35">
        <f>AVERAGE(F272:F276)</f>
        <v>630.6</v>
      </c>
      <c r="G277" s="34">
        <f>AVERAGE(G272:G276)</f>
        <v>0.65800000000000014</v>
      </c>
      <c r="H277" s="105"/>
      <c r="I277" s="6" t="s">
        <v>8</v>
      </c>
      <c r="J277" s="7">
        <f>AVERAGE(J272:J276)</f>
        <v>75.153999999999996</v>
      </c>
      <c r="K277" s="7">
        <f>AVERAGE(K272:K276)</f>
        <v>75.144000000000005</v>
      </c>
      <c r="L277" s="35">
        <f>AVERAGE(L272:L276)</f>
        <v>995.2</v>
      </c>
      <c r="M277" s="34">
        <f>AVERAGE(M272:M276)</f>
        <v>0.49939999999999996</v>
      </c>
      <c r="N277" s="105"/>
      <c r="O277" s="6" t="s">
        <v>8</v>
      </c>
      <c r="P277" s="7">
        <f>AVERAGE(P272:P276)</f>
        <v>76.830000000000013</v>
      </c>
      <c r="Q277" s="7">
        <f>AVERAGE(Q272:Q276)</f>
        <v>76.50800000000001</v>
      </c>
      <c r="R277" s="35">
        <f>AVERAGE(R272:R276)</f>
        <v>980.8</v>
      </c>
      <c r="S277" s="34">
        <f>AVERAGE(S272:S276)</f>
        <v>0.48659999999999998</v>
      </c>
    </row>
    <row r="278" spans="1:19" x14ac:dyDescent="0.2">
      <c r="A278" s="119">
        <v>1.6</v>
      </c>
      <c r="B278" s="105"/>
      <c r="C278" s="28">
        <v>13</v>
      </c>
      <c r="D278" s="25">
        <v>62.14</v>
      </c>
      <c r="E278" s="25">
        <v>70.989999999999995</v>
      </c>
      <c r="F278" s="37">
        <v>293</v>
      </c>
      <c r="G278" s="31">
        <v>0.80500000000000005</v>
      </c>
      <c r="H278" s="105"/>
      <c r="I278" s="28">
        <v>13</v>
      </c>
      <c r="J278" s="25">
        <v>75.260000000000005</v>
      </c>
      <c r="K278" s="25">
        <v>75.67</v>
      </c>
      <c r="L278" s="25">
        <v>922</v>
      </c>
      <c r="M278" s="31">
        <v>0.51700000000000002</v>
      </c>
      <c r="N278" s="105"/>
      <c r="O278" s="28">
        <v>13</v>
      </c>
      <c r="P278" s="25">
        <v>76.73</v>
      </c>
      <c r="Q278" s="51">
        <v>76.97</v>
      </c>
      <c r="R278" s="25">
        <v>889</v>
      </c>
      <c r="S278" s="31">
        <v>0.51100000000000001</v>
      </c>
    </row>
    <row r="279" spans="1:19" x14ac:dyDescent="0.2">
      <c r="A279" s="109"/>
      <c r="B279" s="105"/>
      <c r="C279" s="29">
        <v>21</v>
      </c>
      <c r="D279" s="4">
        <v>56</v>
      </c>
      <c r="E279" s="4">
        <v>68.66</v>
      </c>
      <c r="F279" s="1">
        <v>145</v>
      </c>
      <c r="G279" s="33">
        <v>0.90400000000000003</v>
      </c>
      <c r="H279" s="105"/>
      <c r="I279" s="29">
        <v>21</v>
      </c>
      <c r="J279" s="4">
        <v>70.98</v>
      </c>
      <c r="K279" s="4">
        <v>74.489999999999995</v>
      </c>
      <c r="L279" s="1">
        <v>610</v>
      </c>
      <c r="M279" s="8">
        <v>0.63800000000000001</v>
      </c>
      <c r="N279" s="105"/>
      <c r="O279" s="29">
        <v>21</v>
      </c>
      <c r="P279" s="4">
        <v>74.930000000000007</v>
      </c>
      <c r="Q279" s="4">
        <v>76.81</v>
      </c>
      <c r="R279" s="1">
        <v>678</v>
      </c>
      <c r="S279" s="8">
        <v>0.58099999999999996</v>
      </c>
    </row>
    <row r="280" spans="1:19" x14ac:dyDescent="0.2">
      <c r="A280" s="109"/>
      <c r="B280" s="105"/>
      <c r="C280" s="29">
        <v>47</v>
      </c>
      <c r="D280" s="4">
        <v>56.83</v>
      </c>
      <c r="E280" s="4">
        <v>68.95</v>
      </c>
      <c r="F280" s="1">
        <v>165</v>
      </c>
      <c r="G280" s="8">
        <v>0.89100000000000001</v>
      </c>
      <c r="H280" s="105"/>
      <c r="I280" s="29">
        <v>47</v>
      </c>
      <c r="J280" s="4">
        <v>69.400000000000006</v>
      </c>
      <c r="K280" s="4">
        <v>74.47</v>
      </c>
      <c r="L280" s="1">
        <v>429</v>
      </c>
      <c r="M280" s="8">
        <v>0.69899999999999995</v>
      </c>
      <c r="N280" s="105"/>
      <c r="O280" s="29">
        <v>47</v>
      </c>
      <c r="P280" s="4">
        <v>75.75</v>
      </c>
      <c r="Q280" s="4">
        <v>76.86</v>
      </c>
      <c r="R280" s="1">
        <v>777</v>
      </c>
      <c r="S280" s="8">
        <v>0.54800000000000004</v>
      </c>
    </row>
    <row r="281" spans="1:19" x14ac:dyDescent="0.2">
      <c r="A281" s="109"/>
      <c r="B281" s="105"/>
      <c r="C281" s="29">
        <v>50</v>
      </c>
      <c r="D281" s="4">
        <v>58.3</v>
      </c>
      <c r="E281" s="4">
        <v>69.56</v>
      </c>
      <c r="F281" s="1">
        <v>188</v>
      </c>
      <c r="G281" s="33">
        <v>0.87</v>
      </c>
      <c r="H281" s="105"/>
      <c r="I281" s="29">
        <v>50</v>
      </c>
      <c r="J281" s="4">
        <v>67.069999999999993</v>
      </c>
      <c r="K281" s="4">
        <v>72.94</v>
      </c>
      <c r="L281" s="1">
        <v>450</v>
      </c>
      <c r="M281" s="8">
        <v>0.71699999999999997</v>
      </c>
      <c r="N281" s="105"/>
      <c r="O281" s="29">
        <v>50</v>
      </c>
      <c r="P281" s="4">
        <v>76.11</v>
      </c>
      <c r="Q281" s="4">
        <v>76.38</v>
      </c>
      <c r="R281" s="1">
        <v>910</v>
      </c>
      <c r="S281" s="8">
        <v>0.51100000000000001</v>
      </c>
    </row>
    <row r="282" spans="1:19" x14ac:dyDescent="0.2">
      <c r="A282" s="109"/>
      <c r="B282" s="105"/>
      <c r="C282" s="30">
        <v>91</v>
      </c>
      <c r="D282" s="27">
        <v>57.91</v>
      </c>
      <c r="E282" s="27">
        <v>69.209999999999994</v>
      </c>
      <c r="F282" s="26">
        <v>216</v>
      </c>
      <c r="G282" s="32">
        <v>0.86699999999999999</v>
      </c>
      <c r="H282" s="105"/>
      <c r="I282" s="30">
        <v>91</v>
      </c>
      <c r="J282" s="27">
        <v>72.31</v>
      </c>
      <c r="K282" s="27">
        <v>75.22</v>
      </c>
      <c r="L282" s="26">
        <v>639</v>
      </c>
      <c r="M282" s="32">
        <v>0.61699999999999999</v>
      </c>
      <c r="N282" s="105"/>
      <c r="O282" s="30">
        <v>91</v>
      </c>
      <c r="P282" s="27">
        <v>76.58</v>
      </c>
      <c r="Q282" s="27">
        <v>76.209999999999994</v>
      </c>
      <c r="R282" s="26">
        <v>999</v>
      </c>
      <c r="S282" s="32">
        <v>0.48499999999999999</v>
      </c>
    </row>
    <row r="283" spans="1:19" x14ac:dyDescent="0.2">
      <c r="A283" s="110"/>
      <c r="B283" s="105"/>
      <c r="C283" s="6" t="s">
        <v>8</v>
      </c>
      <c r="D283" s="7">
        <f>AVERAGE(D278:D282)</f>
        <v>58.23599999999999</v>
      </c>
      <c r="E283" s="7">
        <f>AVERAGE(E278:E282)</f>
        <v>69.47399999999999</v>
      </c>
      <c r="F283" s="35">
        <f>AVERAGE(F278:F282)</f>
        <v>201.4</v>
      </c>
      <c r="G283" s="34">
        <f>AVERAGE(G278:G282)</f>
        <v>0.86739999999999995</v>
      </c>
      <c r="H283" s="105"/>
      <c r="I283" s="6" t="s">
        <v>8</v>
      </c>
      <c r="J283" s="7">
        <f>AVERAGE(J278:J282)</f>
        <v>71.004000000000005</v>
      </c>
      <c r="K283" s="7">
        <f>AVERAGE(K278:K282)</f>
        <v>74.557999999999993</v>
      </c>
      <c r="L283" s="35">
        <f>AVERAGE(L278:L282)</f>
        <v>610</v>
      </c>
      <c r="M283" s="34">
        <f>AVERAGE(M278:M282)</f>
        <v>0.63760000000000006</v>
      </c>
      <c r="N283" s="105"/>
      <c r="O283" s="6" t="s">
        <v>8</v>
      </c>
      <c r="P283" s="7">
        <f>AVERAGE(P278:P282)</f>
        <v>76.02000000000001</v>
      </c>
      <c r="Q283" s="7">
        <f>AVERAGE(Q278:Q282)</f>
        <v>76.645999999999987</v>
      </c>
      <c r="R283" s="35">
        <f>AVERAGE(R278:R282)</f>
        <v>850.6</v>
      </c>
      <c r="S283" s="34">
        <f>AVERAGE(S278:S282)</f>
        <v>0.5272</v>
      </c>
    </row>
    <row r="284" spans="1:19" x14ac:dyDescent="0.2">
      <c r="A284" s="119">
        <v>1.8</v>
      </c>
      <c r="B284" s="105"/>
      <c r="C284" s="28">
        <v>13</v>
      </c>
      <c r="D284" s="25">
        <v>51.38</v>
      </c>
      <c r="E284" s="25">
        <v>67.150000000000006</v>
      </c>
      <c r="F284" s="25">
        <v>24</v>
      </c>
      <c r="G284" s="31">
        <v>0.98</v>
      </c>
      <c r="H284" s="105"/>
      <c r="I284" s="28">
        <v>13</v>
      </c>
      <c r="J284" s="25">
        <v>73.91</v>
      </c>
      <c r="K284" s="25">
        <v>75.77</v>
      </c>
      <c r="L284" s="25">
        <v>737</v>
      </c>
      <c r="M284" s="31">
        <v>0.57699999999999996</v>
      </c>
      <c r="N284" s="105"/>
      <c r="O284" s="28">
        <v>13</v>
      </c>
      <c r="P284" s="25">
        <v>63.48</v>
      </c>
      <c r="Q284" s="25">
        <v>72.040000000000006</v>
      </c>
      <c r="R284" s="25">
        <v>235</v>
      </c>
      <c r="S284" s="31">
        <v>0.80700000000000005</v>
      </c>
    </row>
    <row r="285" spans="1:19" x14ac:dyDescent="0.2">
      <c r="A285" s="109"/>
      <c r="B285" s="105"/>
      <c r="C285" s="29">
        <v>21</v>
      </c>
      <c r="D285" s="4">
        <v>50.74</v>
      </c>
      <c r="E285" s="4">
        <v>66.900000000000006</v>
      </c>
      <c r="F285" s="1">
        <v>17</v>
      </c>
      <c r="G285" s="8">
        <v>0.98799999999999999</v>
      </c>
      <c r="H285" s="105"/>
      <c r="I285" s="29">
        <v>21</v>
      </c>
      <c r="J285" s="4">
        <v>58.76</v>
      </c>
      <c r="K285" s="4">
        <v>69.94</v>
      </c>
      <c r="L285" s="1">
        <v>162</v>
      </c>
      <c r="M285" s="8">
        <v>0.872</v>
      </c>
      <c r="N285" s="105"/>
      <c r="O285" s="29">
        <v>21</v>
      </c>
      <c r="P285" s="4">
        <v>66.19</v>
      </c>
      <c r="Q285" s="4">
        <v>73.16</v>
      </c>
      <c r="R285" s="1">
        <v>313</v>
      </c>
      <c r="S285" s="8">
        <v>0.76</v>
      </c>
    </row>
    <row r="286" spans="1:19" x14ac:dyDescent="0.2">
      <c r="A286" s="109"/>
      <c r="B286" s="105"/>
      <c r="C286" s="29">
        <v>47</v>
      </c>
      <c r="D286" s="4">
        <v>50.84</v>
      </c>
      <c r="E286" s="4">
        <v>66.95</v>
      </c>
      <c r="F286" s="1">
        <v>17</v>
      </c>
      <c r="G286" s="8">
        <v>0.98699999999999999</v>
      </c>
      <c r="H286" s="105"/>
      <c r="I286" s="29">
        <v>47</v>
      </c>
      <c r="J286" s="4">
        <v>62.96</v>
      </c>
      <c r="K286" s="4">
        <v>71.77</v>
      </c>
      <c r="L286" s="1">
        <v>233</v>
      </c>
      <c r="M286" s="8">
        <v>0.81200000000000006</v>
      </c>
      <c r="N286" s="105"/>
      <c r="O286" s="29">
        <v>47</v>
      </c>
      <c r="P286" s="4">
        <v>66.260000000000005</v>
      </c>
      <c r="Q286" s="4">
        <v>73.069999999999993</v>
      </c>
      <c r="R286" s="1">
        <v>338</v>
      </c>
      <c r="S286" s="8">
        <v>0.753</v>
      </c>
    </row>
    <row r="287" spans="1:19" x14ac:dyDescent="0.2">
      <c r="A287" s="109"/>
      <c r="B287" s="105"/>
      <c r="C287" s="29">
        <v>50</v>
      </c>
      <c r="D287" s="4">
        <v>51.46</v>
      </c>
      <c r="E287" s="4">
        <v>67.12</v>
      </c>
      <c r="F287" s="1">
        <v>37</v>
      </c>
      <c r="G287" s="8">
        <v>0.97599999999999998</v>
      </c>
      <c r="H287" s="105"/>
      <c r="I287" s="29">
        <v>50</v>
      </c>
      <c r="J287" s="4">
        <v>60.48</v>
      </c>
      <c r="K287" s="4">
        <v>70.56</v>
      </c>
      <c r="L287" s="1">
        <v>209</v>
      </c>
      <c r="M287" s="8">
        <v>0.84299999999999997</v>
      </c>
      <c r="N287" s="105"/>
      <c r="O287" s="29">
        <v>50</v>
      </c>
      <c r="P287" s="4">
        <v>67.98</v>
      </c>
      <c r="Q287" s="4">
        <v>73.12</v>
      </c>
      <c r="R287" s="1">
        <v>516</v>
      </c>
      <c r="S287" s="33">
        <v>0.69099999999999995</v>
      </c>
    </row>
    <row r="288" spans="1:19" x14ac:dyDescent="0.2">
      <c r="A288" s="109"/>
      <c r="B288" s="105"/>
      <c r="C288" s="30">
        <v>91</v>
      </c>
      <c r="D288" s="27">
        <v>51.49</v>
      </c>
      <c r="E288" s="27">
        <v>67.099999999999994</v>
      </c>
      <c r="F288" s="26">
        <v>43</v>
      </c>
      <c r="G288" s="32">
        <v>0.97399999999999998</v>
      </c>
      <c r="H288" s="105"/>
      <c r="I288" s="30">
        <v>91</v>
      </c>
      <c r="J288" s="27">
        <v>64.349999999999994</v>
      </c>
      <c r="K288" s="27">
        <v>72.28</v>
      </c>
      <c r="L288" s="26">
        <v>282</v>
      </c>
      <c r="M288" s="32">
        <v>0.78600000000000003</v>
      </c>
      <c r="N288" s="105"/>
      <c r="O288" s="30">
        <v>91</v>
      </c>
      <c r="P288" s="27">
        <v>67.709999999999994</v>
      </c>
      <c r="Q288" s="27">
        <v>73.66</v>
      </c>
      <c r="R288" s="26">
        <v>388</v>
      </c>
      <c r="S288" s="32">
        <v>0.72599999999999998</v>
      </c>
    </row>
    <row r="289" spans="1:19" x14ac:dyDescent="0.2">
      <c r="A289" s="110"/>
      <c r="B289" s="105"/>
      <c r="C289" s="6" t="s">
        <v>8</v>
      </c>
      <c r="D289" s="7">
        <f>AVERAGE(D284:D288)</f>
        <v>51.182000000000002</v>
      </c>
      <c r="E289" s="7">
        <f>AVERAGE(E284:E288)</f>
        <v>67.044000000000011</v>
      </c>
      <c r="F289" s="35">
        <f>AVERAGE(F284:F288)</f>
        <v>27.6</v>
      </c>
      <c r="G289" s="34">
        <f>AVERAGE(G284:G288)</f>
        <v>0.98100000000000009</v>
      </c>
      <c r="H289" s="105"/>
      <c r="I289" s="6" t="s">
        <v>8</v>
      </c>
      <c r="J289" s="7">
        <f>AVERAGE(J284:J288)</f>
        <v>64.092000000000013</v>
      </c>
      <c r="K289" s="7">
        <f>AVERAGE(K284:K288)</f>
        <v>72.063999999999993</v>
      </c>
      <c r="L289" s="35">
        <f>AVERAGE(L284:L288)</f>
        <v>324.60000000000002</v>
      </c>
      <c r="M289" s="34">
        <f>AVERAGE(M284:M288)</f>
        <v>0.77800000000000002</v>
      </c>
      <c r="N289" s="105"/>
      <c r="O289" s="6" t="s">
        <v>8</v>
      </c>
      <c r="P289" s="7">
        <f>AVERAGE(P284:P288)</f>
        <v>66.323999999999998</v>
      </c>
      <c r="Q289" s="7">
        <f>AVERAGE(Q284:Q288)</f>
        <v>73.009999999999991</v>
      </c>
      <c r="R289" s="35">
        <f>AVERAGE(R284:R288)</f>
        <v>358</v>
      </c>
      <c r="S289" s="34">
        <f>AVERAGE(S284:S288)</f>
        <v>0.74740000000000006</v>
      </c>
    </row>
    <row r="290" spans="1:19" x14ac:dyDescent="0.2">
      <c r="A290" s="119">
        <v>2</v>
      </c>
      <c r="B290" s="105"/>
      <c r="C290" s="28">
        <v>13</v>
      </c>
      <c r="D290" s="25">
        <v>50.06</v>
      </c>
      <c r="E290" s="25">
        <v>66.69</v>
      </c>
      <c r="F290" s="25">
        <v>0</v>
      </c>
      <c r="G290" s="31">
        <v>0.999</v>
      </c>
      <c r="H290" s="105"/>
      <c r="I290" s="28">
        <v>13</v>
      </c>
      <c r="J290" s="25">
        <v>65.19</v>
      </c>
      <c r="K290" s="25">
        <v>72.83</v>
      </c>
      <c r="L290" s="25">
        <v>268</v>
      </c>
      <c r="M290" s="36">
        <v>0.78100000000000003</v>
      </c>
      <c r="N290" s="105"/>
      <c r="O290" s="28">
        <v>13</v>
      </c>
      <c r="P290" s="25">
        <v>50.24</v>
      </c>
      <c r="Q290" s="25">
        <v>66.77</v>
      </c>
      <c r="R290" s="25">
        <v>0</v>
      </c>
      <c r="S290" s="36">
        <v>0.998</v>
      </c>
    </row>
    <row r="291" spans="1:19" x14ac:dyDescent="0.2">
      <c r="A291" s="109"/>
      <c r="B291" s="105"/>
      <c r="C291" s="29">
        <v>21</v>
      </c>
      <c r="D291" s="4">
        <v>50.06</v>
      </c>
      <c r="E291" s="4">
        <v>66.69</v>
      </c>
      <c r="F291" s="1">
        <v>0</v>
      </c>
      <c r="G291" s="8">
        <v>0.999</v>
      </c>
      <c r="H291" s="105"/>
      <c r="I291" s="29">
        <v>21</v>
      </c>
      <c r="J291" s="4">
        <v>51.49</v>
      </c>
      <c r="K291" s="4">
        <v>67.27</v>
      </c>
      <c r="L291" s="1">
        <v>12</v>
      </c>
      <c r="M291" s="8">
        <v>0.98199999999999998</v>
      </c>
      <c r="N291" s="105"/>
      <c r="O291" s="29">
        <v>21</v>
      </c>
      <c r="P291" s="4">
        <v>50.08</v>
      </c>
      <c r="Q291" s="4">
        <v>66.7</v>
      </c>
      <c r="R291" s="1">
        <v>0</v>
      </c>
      <c r="S291" s="8">
        <v>0.999</v>
      </c>
    </row>
    <row r="292" spans="1:19" x14ac:dyDescent="0.2">
      <c r="A292" s="109"/>
      <c r="B292" s="105"/>
      <c r="C292" s="29">
        <v>47</v>
      </c>
      <c r="D292" s="4">
        <v>50.06</v>
      </c>
      <c r="E292" s="4">
        <v>66.69</v>
      </c>
      <c r="F292" s="1">
        <v>1</v>
      </c>
      <c r="G292" s="8">
        <v>0.999</v>
      </c>
      <c r="H292" s="105"/>
      <c r="I292" s="29">
        <v>47</v>
      </c>
      <c r="J292" s="4">
        <v>51.24</v>
      </c>
      <c r="K292" s="4">
        <v>67.12</v>
      </c>
      <c r="L292" s="1">
        <v>19</v>
      </c>
      <c r="M292" s="8">
        <v>0.98299999999999998</v>
      </c>
      <c r="N292" s="105"/>
      <c r="O292" s="29">
        <v>47</v>
      </c>
      <c r="P292" s="4">
        <v>50.16</v>
      </c>
      <c r="Q292" s="4">
        <v>66.73</v>
      </c>
      <c r="R292" s="1">
        <v>1</v>
      </c>
      <c r="S292" s="8">
        <v>0.998</v>
      </c>
    </row>
    <row r="293" spans="1:19" x14ac:dyDescent="0.2">
      <c r="A293" s="109"/>
      <c r="B293" s="105"/>
      <c r="C293" s="29">
        <v>50</v>
      </c>
      <c r="D293" s="4">
        <v>50.2</v>
      </c>
      <c r="E293" s="4">
        <v>66.75</v>
      </c>
      <c r="F293" s="1">
        <v>1</v>
      </c>
      <c r="G293" s="8">
        <v>0.998</v>
      </c>
      <c r="H293" s="105"/>
      <c r="I293" s="29">
        <v>50</v>
      </c>
      <c r="J293" s="4">
        <v>50.74</v>
      </c>
      <c r="K293" s="4">
        <v>66.97</v>
      </c>
      <c r="L293" s="1">
        <v>5</v>
      </c>
      <c r="M293" s="8">
        <v>0.99099999999999999</v>
      </c>
      <c r="N293" s="105"/>
      <c r="O293" s="29">
        <v>50</v>
      </c>
      <c r="P293" s="4">
        <v>50.18</v>
      </c>
      <c r="Q293" s="4">
        <v>66.73</v>
      </c>
      <c r="R293" s="1">
        <v>2</v>
      </c>
      <c r="S293" s="8">
        <v>0.998</v>
      </c>
    </row>
    <row r="294" spans="1:19" x14ac:dyDescent="0.2">
      <c r="A294" s="109"/>
      <c r="B294" s="105"/>
      <c r="C294" s="30">
        <v>91</v>
      </c>
      <c r="D294" s="27">
        <v>50.16</v>
      </c>
      <c r="E294" s="27">
        <v>66.72</v>
      </c>
      <c r="F294" s="26">
        <v>4</v>
      </c>
      <c r="G294" s="32">
        <v>0.997</v>
      </c>
      <c r="H294" s="105"/>
      <c r="I294" s="30">
        <v>91</v>
      </c>
      <c r="J294" s="27">
        <v>51.59</v>
      </c>
      <c r="K294" s="27">
        <v>67.260000000000005</v>
      </c>
      <c r="L294" s="26">
        <v>21</v>
      </c>
      <c r="M294" s="32">
        <v>0.97899999999999998</v>
      </c>
      <c r="N294" s="105"/>
      <c r="O294" s="30">
        <v>91</v>
      </c>
      <c r="P294" s="27">
        <v>50.03</v>
      </c>
      <c r="Q294" s="27">
        <v>66.680000000000007</v>
      </c>
      <c r="R294" s="26">
        <v>0</v>
      </c>
      <c r="S294" s="52">
        <v>0.999</v>
      </c>
    </row>
    <row r="295" spans="1:19" x14ac:dyDescent="0.2">
      <c r="A295" s="110"/>
      <c r="B295" s="106"/>
      <c r="C295" s="6" t="s">
        <v>8</v>
      </c>
      <c r="D295" s="7">
        <f>AVERAGE(D290:D294)</f>
        <v>50.107999999999997</v>
      </c>
      <c r="E295" s="7">
        <f>AVERAGE(E290:E294)</f>
        <v>66.707999999999998</v>
      </c>
      <c r="F295" s="35">
        <f>AVERAGE(F290:F294)</f>
        <v>1.2</v>
      </c>
      <c r="G295" s="34">
        <f>AVERAGE(G290:G294)</f>
        <v>0.99839999999999995</v>
      </c>
      <c r="H295" s="106"/>
      <c r="I295" s="6" t="s">
        <v>8</v>
      </c>
      <c r="J295" s="7">
        <f>AVERAGE(J290:J294)</f>
        <v>54.05</v>
      </c>
      <c r="K295" s="7">
        <f>AVERAGE(K290:K294)</f>
        <v>68.289999999999992</v>
      </c>
      <c r="L295" s="35">
        <f>AVERAGE(L290:L294)</f>
        <v>65</v>
      </c>
      <c r="M295" s="34">
        <f>AVERAGE(M290:M294)</f>
        <v>0.94320000000000004</v>
      </c>
      <c r="N295" s="106"/>
      <c r="O295" s="6" t="s">
        <v>8</v>
      </c>
      <c r="P295" s="7">
        <f>AVERAGE(P290:P294)</f>
        <v>50.137999999999998</v>
      </c>
      <c r="Q295" s="7">
        <f>AVERAGE(Q290:Q294)</f>
        <v>66.722000000000008</v>
      </c>
      <c r="R295" s="35">
        <f>AVERAGE(R290:R294)</f>
        <v>0.6</v>
      </c>
      <c r="S295" s="34">
        <f>AVERAGE(S290:S294)</f>
        <v>0.99839999999999995</v>
      </c>
    </row>
    <row r="296" spans="1:19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">
      <c r="A298" s="120" t="s">
        <v>23</v>
      </c>
      <c r="B298" s="107" t="s">
        <v>15</v>
      </c>
      <c r="C298" s="108"/>
      <c r="D298" s="108"/>
      <c r="E298" s="108"/>
      <c r="F298" s="108"/>
      <c r="G298" s="111"/>
      <c r="H298" s="107" t="s">
        <v>16</v>
      </c>
      <c r="I298" s="108"/>
      <c r="J298" s="108"/>
      <c r="K298" s="108"/>
      <c r="L298" s="108"/>
      <c r="M298" s="111"/>
      <c r="N298" s="107" t="s">
        <v>17</v>
      </c>
      <c r="O298" s="108"/>
      <c r="P298" s="108"/>
      <c r="Q298" s="108"/>
      <c r="R298" s="108"/>
      <c r="S298" s="111"/>
    </row>
    <row r="299" spans="1:19" x14ac:dyDescent="0.2">
      <c r="A299" s="121"/>
      <c r="B299" s="19" t="s">
        <v>3</v>
      </c>
      <c r="C299" s="1" t="s">
        <v>4</v>
      </c>
      <c r="D299" s="1" t="s">
        <v>6</v>
      </c>
      <c r="E299" s="2" t="s">
        <v>7</v>
      </c>
      <c r="F299" s="1" t="s">
        <v>24</v>
      </c>
      <c r="G299" s="8" t="s">
        <v>25</v>
      </c>
      <c r="H299" s="19" t="s">
        <v>3</v>
      </c>
      <c r="I299" s="1" t="s">
        <v>4</v>
      </c>
      <c r="J299" s="1" t="s">
        <v>6</v>
      </c>
      <c r="K299" s="2" t="s">
        <v>7</v>
      </c>
      <c r="L299" s="1" t="s">
        <v>24</v>
      </c>
      <c r="M299" s="8" t="s">
        <v>25</v>
      </c>
      <c r="N299" s="19" t="s">
        <v>3</v>
      </c>
      <c r="O299" s="1" t="s">
        <v>4</v>
      </c>
      <c r="P299" s="1" t="s">
        <v>6</v>
      </c>
      <c r="Q299" s="2" t="s">
        <v>7</v>
      </c>
      <c r="R299" s="1" t="s">
        <v>24</v>
      </c>
      <c r="S299" s="8" t="s">
        <v>25</v>
      </c>
    </row>
    <row r="300" spans="1:19" x14ac:dyDescent="0.2">
      <c r="A300" s="122">
        <v>1</v>
      </c>
      <c r="B300" s="104">
        <v>16</v>
      </c>
      <c r="C300" s="28">
        <v>13</v>
      </c>
      <c r="D300" s="25">
        <v>72.75</v>
      </c>
      <c r="E300" s="1">
        <v>71.06</v>
      </c>
      <c r="F300" s="25">
        <v>1323</v>
      </c>
      <c r="G300" s="31">
        <v>0.442</v>
      </c>
      <c r="H300" s="104">
        <v>16</v>
      </c>
      <c r="I300" s="28">
        <v>13</v>
      </c>
      <c r="J300" s="25">
        <v>75.72</v>
      </c>
      <c r="K300" s="1">
        <v>74.55</v>
      </c>
      <c r="L300" s="25">
        <v>1156</v>
      </c>
      <c r="M300" s="36">
        <v>0.45400000000000001</v>
      </c>
      <c r="N300" s="104">
        <v>16</v>
      </c>
      <c r="O300" s="28">
        <v>13</v>
      </c>
      <c r="P300" s="25">
        <v>77.28</v>
      </c>
      <c r="Q300" s="1">
        <v>76.25</v>
      </c>
      <c r="R300" s="25">
        <v>1082</v>
      </c>
      <c r="S300" s="31">
        <v>0.45700000000000002</v>
      </c>
    </row>
    <row r="301" spans="1:19" x14ac:dyDescent="0.2">
      <c r="A301" s="123"/>
      <c r="B301" s="105"/>
      <c r="C301" s="29">
        <v>21</v>
      </c>
      <c r="D301" s="4">
        <v>72.56</v>
      </c>
      <c r="E301" s="4">
        <v>70.3</v>
      </c>
      <c r="F301" s="1">
        <v>1402</v>
      </c>
      <c r="G301" s="8">
        <v>0.42399999999999999</v>
      </c>
      <c r="H301" s="105"/>
      <c r="I301" s="29">
        <v>21</v>
      </c>
      <c r="J301" s="4">
        <v>75.459999999999994</v>
      </c>
      <c r="K301" s="4">
        <v>74.28</v>
      </c>
      <c r="L301" s="1">
        <v>1166</v>
      </c>
      <c r="M301" s="8">
        <v>0.45400000000000001</v>
      </c>
      <c r="N301" s="105"/>
      <c r="O301" s="29">
        <v>21</v>
      </c>
      <c r="P301" s="4">
        <v>77.64</v>
      </c>
      <c r="Q301" s="4">
        <v>77.569999999999993</v>
      </c>
      <c r="R301" s="1">
        <v>907</v>
      </c>
      <c r="S301" s="8">
        <v>0.497</v>
      </c>
    </row>
    <row r="302" spans="1:19" x14ac:dyDescent="0.2">
      <c r="A302" s="123"/>
      <c r="B302" s="105"/>
      <c r="C302" s="29">
        <v>47</v>
      </c>
      <c r="D302" s="4">
        <v>72.680000000000007</v>
      </c>
      <c r="E302" s="4">
        <v>70.680000000000007</v>
      </c>
      <c r="F302" s="1">
        <v>1365</v>
      </c>
      <c r="G302" s="8">
        <v>0.432</v>
      </c>
      <c r="H302" s="105"/>
      <c r="I302" s="29">
        <v>47</v>
      </c>
      <c r="J302" s="4">
        <v>75.48</v>
      </c>
      <c r="K302" s="4">
        <v>74.64</v>
      </c>
      <c r="L302" s="1">
        <v>1113</v>
      </c>
      <c r="M302" s="33">
        <v>0.46700000000000003</v>
      </c>
      <c r="N302" s="105"/>
      <c r="O302" s="29">
        <v>47</v>
      </c>
      <c r="P302" s="4">
        <v>77.849999999999994</v>
      </c>
      <c r="Q302" s="4">
        <v>77.61</v>
      </c>
      <c r="R302" s="1">
        <v>928</v>
      </c>
      <c r="S302" s="8">
        <v>0.48899999999999999</v>
      </c>
    </row>
    <row r="303" spans="1:19" x14ac:dyDescent="0.2">
      <c r="A303" s="123"/>
      <c r="B303" s="105"/>
      <c r="C303" s="29">
        <v>50</v>
      </c>
      <c r="D303" s="4">
        <v>72.56</v>
      </c>
      <c r="E303" s="4">
        <v>69.87</v>
      </c>
      <c r="F303" s="1">
        <v>1455</v>
      </c>
      <c r="G303" s="8">
        <v>0.41099999999999998</v>
      </c>
      <c r="H303" s="105"/>
      <c r="I303" s="29">
        <v>50</v>
      </c>
      <c r="J303" s="4">
        <v>75.459999999999994</v>
      </c>
      <c r="K303" s="4">
        <v>75.819999999999993</v>
      </c>
      <c r="L303" s="1">
        <v>923</v>
      </c>
      <c r="M303" s="8">
        <v>0.51500000000000001</v>
      </c>
      <c r="N303" s="105"/>
      <c r="O303" s="29">
        <v>50</v>
      </c>
      <c r="P303" s="4">
        <v>77.39</v>
      </c>
      <c r="Q303" s="4">
        <v>77.27</v>
      </c>
      <c r="R303" s="1">
        <v>926</v>
      </c>
      <c r="S303" s="8">
        <v>0.495</v>
      </c>
    </row>
    <row r="304" spans="1:19" x14ac:dyDescent="0.2">
      <c r="A304" s="123"/>
      <c r="B304" s="105"/>
      <c r="C304" s="30">
        <v>91</v>
      </c>
      <c r="D304" s="27">
        <v>72.5</v>
      </c>
      <c r="E304" s="27">
        <v>72.150000000000006</v>
      </c>
      <c r="F304" s="26">
        <v>1150</v>
      </c>
      <c r="G304" s="32">
        <v>0.48799999999999999</v>
      </c>
      <c r="H304" s="105"/>
      <c r="I304" s="30">
        <v>91</v>
      </c>
      <c r="J304" s="27">
        <v>75.56</v>
      </c>
      <c r="K304" s="27">
        <v>74.83</v>
      </c>
      <c r="L304" s="26">
        <v>1094</v>
      </c>
      <c r="M304" s="32">
        <v>0.47099999999999997</v>
      </c>
      <c r="N304" s="105"/>
      <c r="O304" s="30">
        <v>91</v>
      </c>
      <c r="P304" s="27">
        <v>77.489999999999995</v>
      </c>
      <c r="Q304" s="27">
        <v>76.97</v>
      </c>
      <c r="R304" s="26">
        <v>991</v>
      </c>
      <c r="S304" s="32">
        <v>0.47699999999999998</v>
      </c>
    </row>
    <row r="305" spans="1:19" x14ac:dyDescent="0.2">
      <c r="A305" s="121"/>
      <c r="B305" s="105"/>
      <c r="C305" s="6" t="s">
        <v>8</v>
      </c>
      <c r="D305" s="7">
        <f>AVERAGE(D300:D304)</f>
        <v>72.61</v>
      </c>
      <c r="E305" s="7">
        <f>AVERAGE(E300:E304)</f>
        <v>70.812000000000012</v>
      </c>
      <c r="F305" s="35">
        <f>AVERAGE(F300:F304)</f>
        <v>1339</v>
      </c>
      <c r="G305" s="34">
        <f>AVERAGE(G300:G304)</f>
        <v>0.43940000000000001</v>
      </c>
      <c r="H305" s="105"/>
      <c r="I305" s="6" t="s">
        <v>8</v>
      </c>
      <c r="J305" s="7">
        <f>AVERAGE(J300:J304)</f>
        <v>75.536000000000001</v>
      </c>
      <c r="K305" s="7">
        <f>AVERAGE(K300:K304)</f>
        <v>74.823999999999984</v>
      </c>
      <c r="L305" s="35">
        <f>AVERAGE(L300:L304)</f>
        <v>1090.4000000000001</v>
      </c>
      <c r="M305" s="34">
        <f>AVERAGE(M300:M304)</f>
        <v>0.47220000000000006</v>
      </c>
      <c r="N305" s="105"/>
      <c r="O305" s="6" t="s">
        <v>8</v>
      </c>
      <c r="P305" s="7">
        <f>AVERAGE(P300:P304)</f>
        <v>77.53</v>
      </c>
      <c r="Q305" s="7">
        <f>AVERAGE(Q300:Q304)</f>
        <v>77.133999999999986</v>
      </c>
      <c r="R305" s="35">
        <f>AVERAGE(R300:R304)</f>
        <v>966.8</v>
      </c>
      <c r="S305" s="34">
        <f>AVERAGE(S300:S304)</f>
        <v>0.48299999999999998</v>
      </c>
    </row>
    <row r="306" spans="1:19" x14ac:dyDescent="0.2">
      <c r="A306" s="119">
        <v>1.2</v>
      </c>
      <c r="B306" s="105"/>
      <c r="C306" s="28">
        <v>13</v>
      </c>
      <c r="D306" s="25">
        <v>72.95</v>
      </c>
      <c r="E306" s="25">
        <v>71.849999999999994</v>
      </c>
      <c r="F306" s="25">
        <v>1238</v>
      </c>
      <c r="G306" s="31">
        <v>0.46100000000000002</v>
      </c>
      <c r="H306" s="105"/>
      <c r="I306" s="28">
        <v>13</v>
      </c>
      <c r="J306" s="25">
        <v>75.56</v>
      </c>
      <c r="K306" s="25">
        <v>75.39</v>
      </c>
      <c r="L306" s="25">
        <v>1005</v>
      </c>
      <c r="M306" s="31">
        <v>0.49299999999999999</v>
      </c>
      <c r="N306" s="105"/>
      <c r="O306" s="28">
        <v>13</v>
      </c>
      <c r="P306" s="25">
        <v>77.319999999999993</v>
      </c>
      <c r="Q306" s="1">
        <v>77.34</v>
      </c>
      <c r="R306" s="25">
        <v>904</v>
      </c>
      <c r="S306" s="31">
        <v>0.501</v>
      </c>
    </row>
    <row r="307" spans="1:19" x14ac:dyDescent="0.2">
      <c r="A307" s="109"/>
      <c r="B307" s="105"/>
      <c r="C307" s="29">
        <v>21</v>
      </c>
      <c r="D307" s="4">
        <v>73.16</v>
      </c>
      <c r="E307" s="4">
        <v>72.42</v>
      </c>
      <c r="F307" s="1">
        <v>1181</v>
      </c>
      <c r="G307" s="8">
        <v>0.47299999999999998</v>
      </c>
      <c r="H307" s="105"/>
      <c r="I307" s="29">
        <v>21</v>
      </c>
      <c r="J307" s="4">
        <v>75.02</v>
      </c>
      <c r="K307" s="4">
        <v>75.14</v>
      </c>
      <c r="L307" s="1">
        <v>981</v>
      </c>
      <c r="M307" s="8">
        <v>0.505</v>
      </c>
      <c r="N307" s="105"/>
      <c r="O307" s="29">
        <v>21</v>
      </c>
      <c r="P307" s="4">
        <v>77.599999999999994</v>
      </c>
      <c r="Q307" s="4">
        <v>76.98</v>
      </c>
      <c r="R307" s="1">
        <v>1003</v>
      </c>
      <c r="S307" s="8">
        <v>0.47299999999999998</v>
      </c>
    </row>
    <row r="308" spans="1:19" x14ac:dyDescent="0.2">
      <c r="A308" s="109"/>
      <c r="B308" s="105"/>
      <c r="C308" s="29">
        <v>47</v>
      </c>
      <c r="D308" s="4">
        <v>72.819999999999993</v>
      </c>
      <c r="E308" s="4">
        <v>71.5</v>
      </c>
      <c r="F308" s="1">
        <v>1273</v>
      </c>
      <c r="G308" s="8">
        <v>0.45400000000000001</v>
      </c>
      <c r="H308" s="105"/>
      <c r="I308" s="29">
        <v>47</v>
      </c>
      <c r="J308" s="4">
        <v>75.64</v>
      </c>
      <c r="K308" s="4">
        <v>74.709999999999994</v>
      </c>
      <c r="L308" s="1">
        <v>1121</v>
      </c>
      <c r="M308" s="8">
        <v>0.45700000000000002</v>
      </c>
      <c r="N308" s="105"/>
      <c r="O308" s="29">
        <v>47</v>
      </c>
      <c r="P308" s="4">
        <v>77.41</v>
      </c>
      <c r="Q308" s="4">
        <v>76.69</v>
      </c>
      <c r="R308" s="1">
        <v>1028</v>
      </c>
      <c r="S308" s="33">
        <v>0.46899999999999997</v>
      </c>
    </row>
    <row r="309" spans="1:19" x14ac:dyDescent="0.2">
      <c r="A309" s="109"/>
      <c r="B309" s="105"/>
      <c r="C309" s="29">
        <v>50</v>
      </c>
      <c r="D309" s="4">
        <v>72.63</v>
      </c>
      <c r="E309" s="4">
        <v>71.290000000000006</v>
      </c>
      <c r="F309" s="1">
        <v>1281</v>
      </c>
      <c r="G309" s="8">
        <v>0.45400000000000001</v>
      </c>
      <c r="H309" s="105"/>
      <c r="I309" s="29">
        <v>50</v>
      </c>
      <c r="J309" s="4">
        <v>75.489999999999995</v>
      </c>
      <c r="K309" s="4">
        <v>74.38</v>
      </c>
      <c r="L309" s="1">
        <v>1154</v>
      </c>
      <c r="M309" s="8">
        <v>0.45700000000000002</v>
      </c>
      <c r="N309" s="105"/>
      <c r="O309" s="29">
        <v>50</v>
      </c>
      <c r="P309" s="4">
        <v>77.53</v>
      </c>
      <c r="Q309" s="4">
        <v>76.84</v>
      </c>
      <c r="R309" s="1">
        <v>1018</v>
      </c>
      <c r="S309" s="33">
        <v>0.47</v>
      </c>
    </row>
    <row r="310" spans="1:19" x14ac:dyDescent="0.2">
      <c r="A310" s="109"/>
      <c r="B310" s="105"/>
      <c r="C310" s="30">
        <v>91</v>
      </c>
      <c r="D310" s="27">
        <v>72.23</v>
      </c>
      <c r="E310" s="27">
        <v>71.959999999999994</v>
      </c>
      <c r="F310" s="26">
        <v>1149</v>
      </c>
      <c r="G310" s="32">
        <v>0.49099999999999999</v>
      </c>
      <c r="H310" s="105"/>
      <c r="I310" s="30">
        <v>91</v>
      </c>
      <c r="J310" s="27">
        <v>75.709999999999994</v>
      </c>
      <c r="K310" s="27">
        <v>74.58</v>
      </c>
      <c r="L310" s="26">
        <v>1150</v>
      </c>
      <c r="M310" s="32">
        <v>0.45500000000000002</v>
      </c>
      <c r="N310" s="105"/>
      <c r="O310" s="30">
        <v>91</v>
      </c>
      <c r="P310" s="27">
        <v>77.5</v>
      </c>
      <c r="Q310" s="27">
        <v>77.03</v>
      </c>
      <c r="R310" s="26">
        <v>982</v>
      </c>
      <c r="S310" s="32">
        <v>0.48</v>
      </c>
    </row>
    <row r="311" spans="1:19" x14ac:dyDescent="0.2">
      <c r="A311" s="110"/>
      <c r="B311" s="105"/>
      <c r="C311" s="6" t="s">
        <v>8</v>
      </c>
      <c r="D311" s="7">
        <f>AVERAGE(D306:D310)</f>
        <v>72.75800000000001</v>
      </c>
      <c r="E311" s="7">
        <f>AVERAGE(E306:E310)</f>
        <v>71.804000000000002</v>
      </c>
      <c r="F311" s="35">
        <f>AVERAGE(F306:F310)</f>
        <v>1224.4000000000001</v>
      </c>
      <c r="G311" s="34">
        <f>AVERAGE(G306:G310)</f>
        <v>0.46659999999999996</v>
      </c>
      <c r="H311" s="105"/>
      <c r="I311" s="6" t="s">
        <v>8</v>
      </c>
      <c r="J311" s="7">
        <f>AVERAGE(J306:J310)</f>
        <v>75.483999999999995</v>
      </c>
      <c r="K311" s="7">
        <f>AVERAGE(K306:K310)</f>
        <v>74.84</v>
      </c>
      <c r="L311" s="35">
        <f>AVERAGE(L306:L310)</f>
        <v>1082.2</v>
      </c>
      <c r="M311" s="34">
        <f>AVERAGE(M306:M310)</f>
        <v>0.47339999999999999</v>
      </c>
      <c r="N311" s="105"/>
      <c r="O311" s="6" t="s">
        <v>8</v>
      </c>
      <c r="P311" s="7">
        <f>AVERAGE(P306:P310)</f>
        <v>77.472000000000008</v>
      </c>
      <c r="Q311" s="7">
        <f>AVERAGE(Q306:Q310)</f>
        <v>76.975999999999999</v>
      </c>
      <c r="R311" s="35">
        <f>AVERAGE(R306:R310)</f>
        <v>987</v>
      </c>
      <c r="S311" s="34">
        <f>AVERAGE(S306:S310)</f>
        <v>0.47859999999999997</v>
      </c>
    </row>
    <row r="312" spans="1:19" x14ac:dyDescent="0.2">
      <c r="A312" s="119">
        <v>1.4</v>
      </c>
      <c r="B312" s="105"/>
      <c r="C312" s="28">
        <v>13</v>
      </c>
      <c r="D312" s="25">
        <v>69.349999999999994</v>
      </c>
      <c r="E312" s="25">
        <v>73.42</v>
      </c>
      <c r="F312" s="25">
        <v>614</v>
      </c>
      <c r="G312" s="31">
        <v>0.65300000000000002</v>
      </c>
      <c r="H312" s="105"/>
      <c r="I312" s="28">
        <v>13</v>
      </c>
      <c r="J312" s="25">
        <v>73.5</v>
      </c>
      <c r="K312" s="25">
        <v>75.400000000000006</v>
      </c>
      <c r="L312" s="25">
        <v>751</v>
      </c>
      <c r="M312" s="31">
        <v>0.57699999999999996</v>
      </c>
      <c r="N312" s="105"/>
      <c r="O312" s="28">
        <v>13</v>
      </c>
      <c r="P312" s="4">
        <v>76.98</v>
      </c>
      <c r="Q312" s="4">
        <v>76.41</v>
      </c>
      <c r="R312" s="1">
        <v>1017</v>
      </c>
      <c r="S312" s="8">
        <v>0.47599999999999998</v>
      </c>
    </row>
    <row r="313" spans="1:19" x14ac:dyDescent="0.2">
      <c r="A313" s="109"/>
      <c r="B313" s="105"/>
      <c r="C313" s="29">
        <v>21</v>
      </c>
      <c r="D313" s="4">
        <v>64.209999999999994</v>
      </c>
      <c r="E313" s="4">
        <v>71.48</v>
      </c>
      <c r="F313" s="1">
        <v>413</v>
      </c>
      <c r="G313" s="33">
        <v>0.755</v>
      </c>
      <c r="H313" s="105"/>
      <c r="I313" s="29">
        <v>21</v>
      </c>
      <c r="J313" s="4">
        <v>74.88</v>
      </c>
      <c r="K313" s="4">
        <v>73.92</v>
      </c>
      <c r="L313" s="1">
        <v>1152</v>
      </c>
      <c r="M313" s="8">
        <v>0.46300000000000002</v>
      </c>
      <c r="N313" s="105"/>
      <c r="O313" s="29">
        <v>21</v>
      </c>
      <c r="P313" s="4">
        <v>76.959999999999994</v>
      </c>
      <c r="Q313" s="4">
        <v>76.61</v>
      </c>
      <c r="R313" s="1">
        <v>981</v>
      </c>
      <c r="S313" s="8">
        <v>0.48499999999999999</v>
      </c>
    </row>
    <row r="314" spans="1:19" x14ac:dyDescent="0.2">
      <c r="A314" s="109"/>
      <c r="B314" s="105"/>
      <c r="C314" s="29">
        <v>47</v>
      </c>
      <c r="D314" s="4">
        <v>66.75</v>
      </c>
      <c r="E314" s="4">
        <v>72.459999999999994</v>
      </c>
      <c r="F314" s="1">
        <v>500</v>
      </c>
      <c r="G314" s="8">
        <v>0.70799999999999996</v>
      </c>
      <c r="H314" s="105"/>
      <c r="I314" s="29">
        <v>47</v>
      </c>
      <c r="J314" s="4">
        <v>74.69</v>
      </c>
      <c r="K314" s="4">
        <v>72.7</v>
      </c>
      <c r="L314" s="1">
        <v>1304</v>
      </c>
      <c r="M314" s="8">
        <v>0.42699999999999999</v>
      </c>
      <c r="N314" s="105"/>
      <c r="O314" s="29">
        <v>47</v>
      </c>
      <c r="P314" s="4">
        <v>76.94</v>
      </c>
      <c r="Q314" s="4">
        <v>76.180000000000007</v>
      </c>
      <c r="R314" s="1">
        <v>1050</v>
      </c>
      <c r="S314" s="8">
        <v>0.46800000000000003</v>
      </c>
    </row>
    <row r="315" spans="1:19" x14ac:dyDescent="0.2">
      <c r="A315" s="109"/>
      <c r="B315" s="105"/>
      <c r="C315" s="29">
        <v>50</v>
      </c>
      <c r="D315" s="4">
        <v>68.66</v>
      </c>
      <c r="E315" s="4">
        <v>73.099999999999994</v>
      </c>
      <c r="F315" s="1">
        <v>594</v>
      </c>
      <c r="G315" s="8">
        <v>0.66500000000000004</v>
      </c>
      <c r="H315" s="105"/>
      <c r="I315" s="29">
        <v>50</v>
      </c>
      <c r="J315" s="4">
        <v>74.040000000000006</v>
      </c>
      <c r="K315" s="4">
        <v>75.209999999999994</v>
      </c>
      <c r="L315" s="1">
        <v>850</v>
      </c>
      <c r="M315" s="8">
        <v>0.54700000000000004</v>
      </c>
      <c r="N315" s="105"/>
      <c r="O315" s="29">
        <v>50</v>
      </c>
      <c r="P315" s="4">
        <v>77.11</v>
      </c>
      <c r="Q315" s="4">
        <v>76.61</v>
      </c>
      <c r="R315" s="1">
        <v>1001</v>
      </c>
      <c r="S315" s="8">
        <v>0.47899999999999998</v>
      </c>
    </row>
    <row r="316" spans="1:19" x14ac:dyDescent="0.2">
      <c r="A316" s="109"/>
      <c r="B316" s="105"/>
      <c r="C316" s="30">
        <v>91</v>
      </c>
      <c r="D316" s="27">
        <v>72.349999999999994</v>
      </c>
      <c r="E316" s="27">
        <v>72.8</v>
      </c>
      <c r="F316" s="26">
        <v>1040</v>
      </c>
      <c r="G316" s="32">
        <v>0.51700000000000002</v>
      </c>
      <c r="H316" s="105"/>
      <c r="I316" s="30">
        <v>91</v>
      </c>
      <c r="J316" s="27">
        <v>74.010000000000005</v>
      </c>
      <c r="K316" s="27">
        <v>75.61</v>
      </c>
      <c r="L316" s="26">
        <v>777</v>
      </c>
      <c r="M316" s="32">
        <v>0.56599999999999995</v>
      </c>
      <c r="N316" s="105"/>
      <c r="O316" s="30">
        <v>91</v>
      </c>
      <c r="P316" s="27">
        <v>77.03</v>
      </c>
      <c r="Q316" s="27">
        <v>76.73</v>
      </c>
      <c r="R316" s="26">
        <v>969</v>
      </c>
      <c r="S316" s="32">
        <v>0.48799999999999999</v>
      </c>
    </row>
    <row r="317" spans="1:19" x14ac:dyDescent="0.2">
      <c r="A317" s="110"/>
      <c r="B317" s="105"/>
      <c r="C317" s="6" t="s">
        <v>8</v>
      </c>
      <c r="D317" s="7">
        <f>AVERAGE(D312:D316)</f>
        <v>68.26400000000001</v>
      </c>
      <c r="E317" s="7">
        <f>AVERAGE(E312:E316)</f>
        <v>72.652000000000015</v>
      </c>
      <c r="F317" s="35">
        <f>AVERAGE(F312:F316)</f>
        <v>632.20000000000005</v>
      </c>
      <c r="G317" s="34">
        <f>AVERAGE(G312:G316)</f>
        <v>0.65959999999999996</v>
      </c>
      <c r="H317" s="105"/>
      <c r="I317" s="6" t="s">
        <v>8</v>
      </c>
      <c r="J317" s="7">
        <f>AVERAGE(J312:J316)</f>
        <v>74.224000000000004</v>
      </c>
      <c r="K317" s="7">
        <f>AVERAGE(K312:K316)</f>
        <v>74.567999999999998</v>
      </c>
      <c r="L317" s="35">
        <f>AVERAGE(L312:L316)</f>
        <v>966.8</v>
      </c>
      <c r="M317" s="34">
        <f>AVERAGE(M312:M316)</f>
        <v>0.51600000000000001</v>
      </c>
      <c r="N317" s="105"/>
      <c r="O317" s="6" t="s">
        <v>8</v>
      </c>
      <c r="P317" s="7">
        <f>AVERAGE(P312:P316)</f>
        <v>77.003999999999991</v>
      </c>
      <c r="Q317" s="7">
        <f>AVERAGE(Q312:Q316)</f>
        <v>76.50800000000001</v>
      </c>
      <c r="R317" s="35">
        <f>AVERAGE(R312:R316)</f>
        <v>1003.6</v>
      </c>
      <c r="S317" s="34">
        <f>AVERAGE(S312:S316)</f>
        <v>0.47919999999999996</v>
      </c>
    </row>
    <row r="318" spans="1:19" x14ac:dyDescent="0.2">
      <c r="A318" s="119">
        <v>1.6</v>
      </c>
      <c r="B318" s="105"/>
      <c r="C318" s="28">
        <v>13</v>
      </c>
      <c r="D318" s="25">
        <v>52.46</v>
      </c>
      <c r="E318" s="25">
        <v>67.489999999999995</v>
      </c>
      <c r="F318" s="25">
        <v>53</v>
      </c>
      <c r="G318" s="31">
        <v>0.96199999999999997</v>
      </c>
      <c r="H318" s="105"/>
      <c r="I318" s="28">
        <v>13</v>
      </c>
      <c r="J318" s="25">
        <v>69.27</v>
      </c>
      <c r="K318" s="25">
        <v>74</v>
      </c>
      <c r="L318" s="25">
        <v>502</v>
      </c>
      <c r="M318" s="31">
        <v>0.68200000000000005</v>
      </c>
      <c r="N318" s="105"/>
      <c r="O318" s="28">
        <v>13</v>
      </c>
      <c r="P318" s="4">
        <v>76.61</v>
      </c>
      <c r="Q318" s="4">
        <v>76.53</v>
      </c>
      <c r="R318" s="1">
        <v>950</v>
      </c>
      <c r="S318" s="8">
        <v>0.496</v>
      </c>
    </row>
    <row r="319" spans="1:19" x14ac:dyDescent="0.2">
      <c r="A319" s="109"/>
      <c r="B319" s="105"/>
      <c r="C319" s="29">
        <v>21</v>
      </c>
      <c r="D319" s="4">
        <v>53.31</v>
      </c>
      <c r="E319" s="4">
        <v>67.72</v>
      </c>
      <c r="F319" s="1">
        <v>82</v>
      </c>
      <c r="G319" s="8">
        <v>0.94599999999999995</v>
      </c>
      <c r="H319" s="105"/>
      <c r="I319" s="29">
        <v>21</v>
      </c>
      <c r="J319" s="4">
        <v>69.86</v>
      </c>
      <c r="K319" s="4">
        <v>74.239999999999995</v>
      </c>
      <c r="L319" s="1">
        <v>526</v>
      </c>
      <c r="M319" s="8">
        <v>0.67</v>
      </c>
      <c r="N319" s="105"/>
      <c r="O319" s="29">
        <v>21</v>
      </c>
      <c r="P319" s="4">
        <v>75.709999999999994</v>
      </c>
      <c r="Q319" s="4">
        <v>77.010000000000005</v>
      </c>
      <c r="R319" s="1">
        <v>745</v>
      </c>
      <c r="S319" s="8">
        <v>0.55700000000000005</v>
      </c>
    </row>
    <row r="320" spans="1:19" x14ac:dyDescent="0.2">
      <c r="A320" s="109"/>
      <c r="B320" s="105"/>
      <c r="C320" s="29">
        <v>47</v>
      </c>
      <c r="D320" s="4">
        <v>53.01</v>
      </c>
      <c r="E320" s="4">
        <v>67.650000000000006</v>
      </c>
      <c r="F320" s="1">
        <v>69</v>
      </c>
      <c r="G320" s="8">
        <v>0.95299999999999996</v>
      </c>
      <c r="H320" s="105"/>
      <c r="I320" s="29">
        <v>47</v>
      </c>
      <c r="J320" s="4">
        <v>66.45</v>
      </c>
      <c r="K320" s="4">
        <v>72.849999999999994</v>
      </c>
      <c r="L320" s="1">
        <v>398</v>
      </c>
      <c r="M320" s="33">
        <v>0.73599999999999999</v>
      </c>
      <c r="N320" s="105"/>
      <c r="O320" s="29">
        <v>47</v>
      </c>
      <c r="P320" s="4">
        <v>75.44</v>
      </c>
      <c r="Q320" s="4">
        <v>76.959999999999994</v>
      </c>
      <c r="R320" s="1">
        <v>719</v>
      </c>
      <c r="S320" s="8">
        <v>0.56599999999999995</v>
      </c>
    </row>
    <row r="321" spans="1:19" x14ac:dyDescent="0.2">
      <c r="A321" s="109"/>
      <c r="B321" s="105"/>
      <c r="C321" s="29">
        <v>50</v>
      </c>
      <c r="D321" s="4">
        <v>56.29</v>
      </c>
      <c r="E321" s="4">
        <v>68.900000000000006</v>
      </c>
      <c r="F321" s="1">
        <v>126</v>
      </c>
      <c r="G321" s="8">
        <v>0.90600000000000003</v>
      </c>
      <c r="H321" s="105"/>
      <c r="I321" s="29">
        <v>50</v>
      </c>
      <c r="J321" s="4">
        <v>68.989999999999995</v>
      </c>
      <c r="K321" s="4">
        <v>73.97</v>
      </c>
      <c r="L321" s="1">
        <v>474</v>
      </c>
      <c r="M321" s="8">
        <v>0.69199999999999995</v>
      </c>
      <c r="N321" s="105"/>
      <c r="O321" s="29">
        <v>50</v>
      </c>
      <c r="P321" s="4">
        <v>76.239999999999995</v>
      </c>
      <c r="Q321" s="4">
        <v>76.92</v>
      </c>
      <c r="R321" s="1">
        <v>832</v>
      </c>
      <c r="S321" s="8">
        <v>0.53</v>
      </c>
    </row>
    <row r="322" spans="1:19" x14ac:dyDescent="0.2">
      <c r="A322" s="109"/>
      <c r="B322" s="105"/>
      <c r="C322" s="30">
        <v>91</v>
      </c>
      <c r="D322" s="27">
        <v>57.85</v>
      </c>
      <c r="E322" s="27">
        <v>69.5</v>
      </c>
      <c r="F322" s="26">
        <v>158</v>
      </c>
      <c r="G322" s="32">
        <v>0.88200000000000001</v>
      </c>
      <c r="H322" s="105"/>
      <c r="I322" s="30">
        <v>91</v>
      </c>
      <c r="J322" s="27">
        <v>67.55</v>
      </c>
      <c r="K322" s="27">
        <v>73.459999999999994</v>
      </c>
      <c r="L322" s="26">
        <v>408</v>
      </c>
      <c r="M322" s="56">
        <v>0.72299999999999998</v>
      </c>
      <c r="N322" s="105"/>
      <c r="O322" s="30">
        <v>91</v>
      </c>
      <c r="P322" s="27">
        <v>75.989999999999995</v>
      </c>
      <c r="Q322" s="27">
        <v>77.099999999999994</v>
      </c>
      <c r="R322" s="26">
        <v>767</v>
      </c>
      <c r="S322" s="32">
        <v>0.54800000000000004</v>
      </c>
    </row>
    <row r="323" spans="1:19" x14ac:dyDescent="0.2">
      <c r="A323" s="110"/>
      <c r="B323" s="105"/>
      <c r="C323" s="6" t="s">
        <v>8</v>
      </c>
      <c r="D323" s="7">
        <f>AVERAGE(D318:D322)</f>
        <v>54.584000000000003</v>
      </c>
      <c r="E323" s="7">
        <f>AVERAGE(E318:E322)</f>
        <v>68.251999999999995</v>
      </c>
      <c r="F323" s="35">
        <f>AVERAGE(F318:F322)</f>
        <v>97.6</v>
      </c>
      <c r="G323" s="34">
        <f>AVERAGE(G318:G322)</f>
        <v>0.92979999999999996</v>
      </c>
      <c r="H323" s="105"/>
      <c r="I323" s="6" t="s">
        <v>8</v>
      </c>
      <c r="J323" s="7">
        <f>AVERAGE(J318:J322)</f>
        <v>68.424000000000007</v>
      </c>
      <c r="K323" s="7">
        <f>AVERAGE(K318:K322)</f>
        <v>73.703999999999994</v>
      </c>
      <c r="L323" s="35">
        <f>AVERAGE(L318:L322)</f>
        <v>461.6</v>
      </c>
      <c r="M323" s="34">
        <f>AVERAGE(M318:M322)</f>
        <v>0.7006</v>
      </c>
      <c r="N323" s="105"/>
      <c r="O323" s="6" t="s">
        <v>8</v>
      </c>
      <c r="P323" s="7">
        <f>AVERAGE(P318:P322)</f>
        <v>75.998000000000005</v>
      </c>
      <c r="Q323" s="7">
        <f>AVERAGE(Q318:Q322)</f>
        <v>76.903999999999996</v>
      </c>
      <c r="R323" s="35">
        <f>AVERAGE(R318:R322)</f>
        <v>802.6</v>
      </c>
      <c r="S323" s="34">
        <f>AVERAGE(S318:S322)</f>
        <v>0.53939999999999999</v>
      </c>
    </row>
    <row r="324" spans="1:19" x14ac:dyDescent="0.2">
      <c r="A324" s="119">
        <v>1.8</v>
      </c>
      <c r="B324" s="105"/>
      <c r="C324" s="28">
        <v>13</v>
      </c>
      <c r="D324" s="25">
        <v>50.06</v>
      </c>
      <c r="E324" s="25">
        <v>66.69</v>
      </c>
      <c r="F324" s="25">
        <v>1</v>
      </c>
      <c r="G324" s="31">
        <v>0.999</v>
      </c>
      <c r="H324" s="105"/>
      <c r="I324" s="28">
        <v>13</v>
      </c>
      <c r="J324" s="25">
        <v>62.01</v>
      </c>
      <c r="K324" s="25">
        <v>71.260000000000005</v>
      </c>
      <c r="L324" s="25">
        <v>233</v>
      </c>
      <c r="M324" s="31">
        <v>0.82199999999999995</v>
      </c>
      <c r="N324" s="105"/>
      <c r="O324" s="28">
        <v>13</v>
      </c>
      <c r="P324" s="4">
        <v>70.25</v>
      </c>
      <c r="Q324" s="4">
        <v>75.010000000000005</v>
      </c>
      <c r="R324" s="1">
        <v>429</v>
      </c>
      <c r="S324" s="33">
        <v>0.69</v>
      </c>
    </row>
    <row r="325" spans="1:19" x14ac:dyDescent="0.2">
      <c r="A325" s="109"/>
      <c r="B325" s="105"/>
      <c r="C325" s="29">
        <v>21</v>
      </c>
      <c r="D325" s="4">
        <v>50.15</v>
      </c>
      <c r="E325" s="4">
        <v>66.72</v>
      </c>
      <c r="F325" s="1">
        <v>2</v>
      </c>
      <c r="G325" s="8">
        <v>0.998</v>
      </c>
      <c r="H325" s="105"/>
      <c r="I325" s="29">
        <v>21</v>
      </c>
      <c r="J325" s="4">
        <v>56.94</v>
      </c>
      <c r="K325" s="4">
        <v>69.209999999999994</v>
      </c>
      <c r="L325" s="1">
        <v>129</v>
      </c>
      <c r="M325" s="8">
        <v>0.89800000000000002</v>
      </c>
      <c r="N325" s="105"/>
      <c r="O325" s="29">
        <v>21</v>
      </c>
      <c r="P325" s="4">
        <v>70.12</v>
      </c>
      <c r="Q325" s="4">
        <v>74.91</v>
      </c>
      <c r="R325" s="1">
        <v>433</v>
      </c>
      <c r="S325" s="8">
        <v>0.69099999999999995</v>
      </c>
    </row>
    <row r="326" spans="1:19" x14ac:dyDescent="0.2">
      <c r="A326" s="109"/>
      <c r="B326" s="105"/>
      <c r="C326" s="29">
        <v>47</v>
      </c>
      <c r="D326" s="4">
        <v>50.15</v>
      </c>
      <c r="E326" s="4">
        <v>66.67</v>
      </c>
      <c r="F326" s="1">
        <v>11</v>
      </c>
      <c r="G326" s="8">
        <v>0.996</v>
      </c>
      <c r="H326" s="105"/>
      <c r="I326" s="29">
        <v>47</v>
      </c>
      <c r="J326" s="4">
        <v>55.79</v>
      </c>
      <c r="K326" s="4">
        <v>68.8</v>
      </c>
      <c r="L326" s="1">
        <v>100</v>
      </c>
      <c r="M326" s="8">
        <v>0.91700000000000004</v>
      </c>
      <c r="N326" s="105"/>
      <c r="O326" s="29">
        <v>47</v>
      </c>
      <c r="P326" s="1">
        <v>68.27</v>
      </c>
      <c r="Q326" s="1">
        <v>74.17</v>
      </c>
      <c r="R326" s="1">
        <v>357</v>
      </c>
      <c r="S326" s="8">
        <v>0.72799999999999998</v>
      </c>
    </row>
    <row r="327" spans="1:19" x14ac:dyDescent="0.2">
      <c r="A327" s="109"/>
      <c r="B327" s="105"/>
      <c r="C327" s="29">
        <v>50</v>
      </c>
      <c r="D327" s="4">
        <v>50.65</v>
      </c>
      <c r="E327" s="4">
        <v>66.87</v>
      </c>
      <c r="F327" s="1">
        <v>15</v>
      </c>
      <c r="G327" s="8">
        <v>0.98899999999999999</v>
      </c>
      <c r="H327" s="105"/>
      <c r="I327" s="29">
        <v>50</v>
      </c>
      <c r="J327" s="4">
        <v>56.31</v>
      </c>
      <c r="K327" s="4">
        <v>69</v>
      </c>
      <c r="L327" s="1">
        <v>110</v>
      </c>
      <c r="M327" s="8">
        <v>0.90900000000000003</v>
      </c>
      <c r="N327" s="105"/>
      <c r="O327" s="29">
        <v>50</v>
      </c>
      <c r="P327" s="4">
        <v>71.430000000000007</v>
      </c>
      <c r="Q327" s="4">
        <v>75.540000000000006</v>
      </c>
      <c r="R327" s="1">
        <v>470</v>
      </c>
      <c r="S327" s="8">
        <v>0.66800000000000004</v>
      </c>
    </row>
    <row r="328" spans="1:19" x14ac:dyDescent="0.2">
      <c r="A328" s="109"/>
      <c r="B328" s="105"/>
      <c r="C328" s="30">
        <v>91</v>
      </c>
      <c r="D328" s="27">
        <v>50.22</v>
      </c>
      <c r="E328" s="27">
        <v>66.760000000000005</v>
      </c>
      <c r="F328" s="26">
        <v>2</v>
      </c>
      <c r="G328" s="32">
        <v>0.997</v>
      </c>
      <c r="H328" s="105"/>
      <c r="I328" s="30">
        <v>91</v>
      </c>
      <c r="J328" s="27">
        <v>59.31</v>
      </c>
      <c r="K328" s="27">
        <v>70.11</v>
      </c>
      <c r="L328" s="26">
        <v>183</v>
      </c>
      <c r="M328" s="32">
        <v>0.86099999999999999</v>
      </c>
      <c r="N328" s="105"/>
      <c r="O328" s="30">
        <v>91</v>
      </c>
      <c r="P328" s="27">
        <v>70.94</v>
      </c>
      <c r="Q328" s="27">
        <v>75.69</v>
      </c>
      <c r="R328" s="26">
        <v>569</v>
      </c>
      <c r="S328" s="32">
        <v>0.64800000000000002</v>
      </c>
    </row>
    <row r="329" spans="1:19" x14ac:dyDescent="0.2">
      <c r="A329" s="110"/>
      <c r="B329" s="105"/>
      <c r="C329" s="6" t="s">
        <v>8</v>
      </c>
      <c r="D329" s="7">
        <f>AVERAGE(D324:D328)</f>
        <v>50.246000000000002</v>
      </c>
      <c r="E329" s="7">
        <f>AVERAGE(E324:E328)</f>
        <v>66.74199999999999</v>
      </c>
      <c r="F329" s="35">
        <f>AVERAGE(F324:F328)</f>
        <v>6.2</v>
      </c>
      <c r="G329" s="34">
        <f>AVERAGE(G324:G328)</f>
        <v>0.99580000000000002</v>
      </c>
      <c r="H329" s="105"/>
      <c r="I329" s="6" t="s">
        <v>8</v>
      </c>
      <c r="J329" s="7">
        <f>AVERAGE(J324:J328)</f>
        <v>58.072000000000003</v>
      </c>
      <c r="K329" s="7">
        <f>AVERAGE(K324:K328)</f>
        <v>69.676000000000002</v>
      </c>
      <c r="L329" s="35">
        <f>AVERAGE(L324:L328)</f>
        <v>151</v>
      </c>
      <c r="M329" s="34">
        <f>AVERAGE(M324:M328)</f>
        <v>0.88139999999999996</v>
      </c>
      <c r="N329" s="105"/>
      <c r="O329" s="6" t="s">
        <v>8</v>
      </c>
      <c r="P329" s="7">
        <f>AVERAGE(P324:P328)</f>
        <v>70.201999999999998</v>
      </c>
      <c r="Q329" s="7">
        <f>AVERAGE(Q324:Q328)</f>
        <v>75.064000000000007</v>
      </c>
      <c r="R329" s="35">
        <f>AVERAGE(R324:R328)</f>
        <v>451.6</v>
      </c>
      <c r="S329" s="34">
        <f>AVERAGE(S324:S328)</f>
        <v>0.68500000000000005</v>
      </c>
    </row>
    <row r="330" spans="1:19" x14ac:dyDescent="0.2">
      <c r="A330" s="119">
        <v>2</v>
      </c>
      <c r="B330" s="105"/>
      <c r="C330" s="28">
        <v>13</v>
      </c>
      <c r="D330" s="25">
        <v>50</v>
      </c>
      <c r="E330" s="25">
        <v>66.67</v>
      </c>
      <c r="F330" s="25">
        <v>0</v>
      </c>
      <c r="G330" s="31">
        <v>1</v>
      </c>
      <c r="H330" s="105"/>
      <c r="I330" s="28">
        <v>13</v>
      </c>
      <c r="J330" s="25">
        <v>51.05</v>
      </c>
      <c r="K330" s="25">
        <v>67.010000000000005</v>
      </c>
      <c r="L330" s="25">
        <v>22</v>
      </c>
      <c r="M330" s="31">
        <v>0.98399999999999999</v>
      </c>
      <c r="N330" s="105"/>
      <c r="O330" s="28">
        <v>13</v>
      </c>
      <c r="P330" s="25">
        <v>50.12</v>
      </c>
      <c r="Q330" s="25">
        <v>66.72</v>
      </c>
      <c r="R330" s="25">
        <v>0</v>
      </c>
      <c r="S330" s="31">
        <v>0.998</v>
      </c>
    </row>
    <row r="331" spans="1:19" x14ac:dyDescent="0.2">
      <c r="A331" s="109"/>
      <c r="B331" s="105"/>
      <c r="C331" s="29">
        <v>21</v>
      </c>
      <c r="D331" s="4">
        <v>50.03</v>
      </c>
      <c r="E331" s="4">
        <v>66.680000000000007</v>
      </c>
      <c r="F331" s="1">
        <v>0</v>
      </c>
      <c r="G331" s="8">
        <v>0.999</v>
      </c>
      <c r="H331" s="105"/>
      <c r="I331" s="29">
        <v>21</v>
      </c>
      <c r="J331" s="4">
        <v>51.55</v>
      </c>
      <c r="K331" s="4">
        <v>67.17</v>
      </c>
      <c r="L331" s="1">
        <v>34</v>
      </c>
      <c r="M331" s="8">
        <v>0.97599999999999998</v>
      </c>
      <c r="N331" s="105"/>
      <c r="O331" s="29">
        <v>21</v>
      </c>
      <c r="P331" s="4">
        <v>50</v>
      </c>
      <c r="Q331" s="4">
        <v>66.67</v>
      </c>
      <c r="R331" s="1">
        <v>0</v>
      </c>
      <c r="S331" s="8">
        <v>1</v>
      </c>
    </row>
    <row r="332" spans="1:19" x14ac:dyDescent="0.2">
      <c r="A332" s="109"/>
      <c r="B332" s="105"/>
      <c r="C332" s="29">
        <v>47</v>
      </c>
      <c r="D332" s="4">
        <v>50.11</v>
      </c>
      <c r="E332" s="4">
        <v>66.709999999999994</v>
      </c>
      <c r="F332" s="1">
        <v>2</v>
      </c>
      <c r="G332" s="8">
        <v>0.998</v>
      </c>
      <c r="H332" s="105"/>
      <c r="I332" s="29">
        <v>47</v>
      </c>
      <c r="J332" s="4">
        <v>51.2</v>
      </c>
      <c r="K332" s="4">
        <v>67.08</v>
      </c>
      <c r="L332" s="1">
        <v>23</v>
      </c>
      <c r="M332" s="8">
        <v>0.98199999999999998</v>
      </c>
      <c r="N332" s="105"/>
      <c r="O332" s="29">
        <v>47</v>
      </c>
      <c r="P332" s="4">
        <v>50.01</v>
      </c>
      <c r="Q332" s="4">
        <v>66.67</v>
      </c>
      <c r="R332" s="1">
        <v>0</v>
      </c>
      <c r="S332" s="8">
        <v>0.999</v>
      </c>
    </row>
    <row r="333" spans="1:19" x14ac:dyDescent="0.2">
      <c r="A333" s="109"/>
      <c r="B333" s="105"/>
      <c r="C333" s="29">
        <v>50</v>
      </c>
      <c r="D333" s="4">
        <v>50.05</v>
      </c>
      <c r="E333" s="4">
        <v>66.69</v>
      </c>
      <c r="F333" s="1">
        <v>0</v>
      </c>
      <c r="G333" s="8">
        <v>0.999</v>
      </c>
      <c r="H333" s="105"/>
      <c r="I333" s="29">
        <v>50</v>
      </c>
      <c r="J333" s="4">
        <v>50.86</v>
      </c>
      <c r="K333" s="4">
        <v>66.989999999999995</v>
      </c>
      <c r="L333" s="1">
        <v>12</v>
      </c>
      <c r="M333" s="8">
        <v>0.98799999999999999</v>
      </c>
      <c r="N333" s="105"/>
      <c r="O333" s="29">
        <v>50</v>
      </c>
      <c r="P333" s="4">
        <v>50.08</v>
      </c>
      <c r="Q333" s="4">
        <v>66.7</v>
      </c>
      <c r="R333" s="1">
        <v>0</v>
      </c>
      <c r="S333" s="8">
        <v>0.999</v>
      </c>
    </row>
    <row r="334" spans="1:19" x14ac:dyDescent="0.2">
      <c r="A334" s="109"/>
      <c r="B334" s="105"/>
      <c r="C334" s="30">
        <v>91</v>
      </c>
      <c r="D334" s="27">
        <v>50</v>
      </c>
      <c r="E334" s="27">
        <v>66.67</v>
      </c>
      <c r="F334" s="26">
        <v>0</v>
      </c>
      <c r="G334" s="32">
        <v>1</v>
      </c>
      <c r="H334" s="105"/>
      <c r="I334" s="30">
        <v>91</v>
      </c>
      <c r="J334" s="27">
        <v>51.4</v>
      </c>
      <c r="K334" s="27">
        <v>67.150000000000006</v>
      </c>
      <c r="L334" s="26">
        <v>27</v>
      </c>
      <c r="M334" s="32">
        <v>0.97899999999999998</v>
      </c>
      <c r="N334" s="105"/>
      <c r="O334" s="30">
        <v>91</v>
      </c>
      <c r="P334" s="27">
        <v>54.65</v>
      </c>
      <c r="Q334" s="27">
        <v>67.94</v>
      </c>
      <c r="R334" s="26">
        <v>71</v>
      </c>
      <c r="S334" s="32">
        <v>0.94599999999999995</v>
      </c>
    </row>
    <row r="335" spans="1:19" x14ac:dyDescent="0.2">
      <c r="A335" s="110"/>
      <c r="B335" s="106"/>
      <c r="C335" s="6" t="s">
        <v>8</v>
      </c>
      <c r="D335" s="7">
        <f>AVERAGE(D330:D334)</f>
        <v>50.037999999999997</v>
      </c>
      <c r="E335" s="7">
        <f>AVERAGE(E330:E334)</f>
        <v>66.683999999999997</v>
      </c>
      <c r="F335" s="35">
        <f>AVERAGE(F330:F334)</f>
        <v>0.4</v>
      </c>
      <c r="G335" s="34">
        <f>AVERAGE(G330:G334)</f>
        <v>0.99920000000000009</v>
      </c>
      <c r="H335" s="106"/>
      <c r="I335" s="6" t="s">
        <v>8</v>
      </c>
      <c r="J335" s="7">
        <f>AVERAGE(J330:J334)</f>
        <v>51.212000000000003</v>
      </c>
      <c r="K335" s="7">
        <f>AVERAGE(K330:K334)</f>
        <v>67.08</v>
      </c>
      <c r="L335" s="35">
        <f>AVERAGE(L330:L334)</f>
        <v>23.6</v>
      </c>
      <c r="M335" s="34">
        <f>AVERAGE(M330:M334)</f>
        <v>0.98180000000000001</v>
      </c>
      <c r="N335" s="106"/>
      <c r="O335" s="6" t="s">
        <v>8</v>
      </c>
      <c r="P335" s="7">
        <f>AVERAGE(P330:P334)</f>
        <v>50.971999999999994</v>
      </c>
      <c r="Q335" s="7">
        <f>AVERAGE(Q330:Q334)</f>
        <v>66.94</v>
      </c>
      <c r="R335" s="35">
        <f>AVERAGE(R330:R334)</f>
        <v>14.2</v>
      </c>
      <c r="S335" s="34">
        <f>AVERAGE(S330:S334)</f>
        <v>0.98840000000000006</v>
      </c>
    </row>
    <row r="337" spans="1:19" x14ac:dyDescent="0.2">
      <c r="A337" s="38" t="s">
        <v>26</v>
      </c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</row>
    <row r="339" spans="1:19" x14ac:dyDescent="0.2">
      <c r="A339" s="21"/>
      <c r="B339" s="107" t="s">
        <v>15</v>
      </c>
      <c r="C339" s="108"/>
      <c r="D339" s="108"/>
      <c r="E339" s="108"/>
      <c r="F339" s="108"/>
      <c r="G339" s="111"/>
      <c r="H339" s="107" t="s">
        <v>16</v>
      </c>
      <c r="I339" s="108"/>
      <c r="J339" s="108"/>
      <c r="K339" s="108"/>
      <c r="L339" s="108"/>
      <c r="M339" s="111"/>
      <c r="N339" s="124" t="s">
        <v>17</v>
      </c>
      <c r="O339" s="108"/>
      <c r="P339" s="108"/>
      <c r="Q339" s="108"/>
      <c r="R339" s="108"/>
      <c r="S339" s="111"/>
    </row>
    <row r="340" spans="1:19" x14ac:dyDescent="0.2">
      <c r="A340" s="21"/>
      <c r="B340" s="47" t="s">
        <v>3</v>
      </c>
      <c r="C340" s="39" t="s">
        <v>23</v>
      </c>
      <c r="D340" s="25" t="s">
        <v>27</v>
      </c>
      <c r="E340" s="25" t="s">
        <v>7</v>
      </c>
      <c r="F340" s="25" t="s">
        <v>24</v>
      </c>
      <c r="G340" s="31" t="s">
        <v>25</v>
      </c>
      <c r="H340" s="47" t="s">
        <v>3</v>
      </c>
      <c r="I340" s="39" t="s">
        <v>23</v>
      </c>
      <c r="J340" s="25" t="s">
        <v>27</v>
      </c>
      <c r="K340" s="25" t="s">
        <v>7</v>
      </c>
      <c r="L340" s="25" t="s">
        <v>24</v>
      </c>
      <c r="M340" s="31" t="s">
        <v>25</v>
      </c>
      <c r="N340" s="47" t="s">
        <v>3</v>
      </c>
      <c r="O340" s="39" t="s">
        <v>23</v>
      </c>
      <c r="P340" s="25" t="s">
        <v>27</v>
      </c>
      <c r="Q340" s="25" t="s">
        <v>7</v>
      </c>
      <c r="R340" s="25" t="s">
        <v>24</v>
      </c>
      <c r="S340" s="31" t="s">
        <v>25</v>
      </c>
    </row>
    <row r="341" spans="1:19" x14ac:dyDescent="0.2">
      <c r="A341" s="21"/>
      <c r="B341" s="100">
        <v>8</v>
      </c>
      <c r="C341" s="39">
        <v>1</v>
      </c>
      <c r="D341" s="40">
        <f>D265</f>
        <v>72.201999999999998</v>
      </c>
      <c r="E341" s="40">
        <f>E265</f>
        <v>71.111999999999995</v>
      </c>
      <c r="F341" s="41">
        <f>F265</f>
        <v>1262.5999999999999</v>
      </c>
      <c r="G341" s="48">
        <f>G265</f>
        <v>0.46240000000000003</v>
      </c>
      <c r="H341" s="100">
        <v>8</v>
      </c>
      <c r="I341" s="39">
        <v>1</v>
      </c>
      <c r="J341" s="40">
        <f>J265</f>
        <v>75.59</v>
      </c>
      <c r="K341" s="40">
        <f>K265</f>
        <v>74.53</v>
      </c>
      <c r="L341" s="41">
        <f>L265</f>
        <v>1141.8</v>
      </c>
      <c r="M341" s="48">
        <f>M265</f>
        <v>0.45879999999999999</v>
      </c>
      <c r="N341" s="100">
        <v>8</v>
      </c>
      <c r="O341" s="39">
        <v>1</v>
      </c>
      <c r="P341" s="40">
        <f>P265</f>
        <v>77.238</v>
      </c>
      <c r="Q341" s="40">
        <f>Q265</f>
        <v>76.59</v>
      </c>
      <c r="R341" s="59">
        <f>R265</f>
        <v>1018.8</v>
      </c>
      <c r="S341" s="48">
        <f>S265</f>
        <v>0.47320000000000001</v>
      </c>
    </row>
    <row r="342" spans="1:19" x14ac:dyDescent="0.2">
      <c r="A342" s="21"/>
      <c r="B342" s="103"/>
      <c r="C342" s="21">
        <v>1.2</v>
      </c>
      <c r="D342" s="42">
        <f>D271</f>
        <v>72.045000000000002</v>
      </c>
      <c r="E342" s="42">
        <f>E271</f>
        <v>71.611999999999995</v>
      </c>
      <c r="F342" s="43">
        <f>F271</f>
        <v>1183.4000000000001</v>
      </c>
      <c r="G342" s="49">
        <f>G271</f>
        <v>0.48380000000000001</v>
      </c>
      <c r="H342" s="103"/>
      <c r="I342" s="21">
        <v>1.2</v>
      </c>
      <c r="J342" s="42">
        <f>J271</f>
        <v>75.510000000000005</v>
      </c>
      <c r="K342" s="42">
        <f>K271</f>
        <v>75.394000000000005</v>
      </c>
      <c r="L342" s="43">
        <f>L271</f>
        <v>996.8</v>
      </c>
      <c r="M342" s="49">
        <f>M271</f>
        <v>0.49560000000000004</v>
      </c>
      <c r="N342" s="103"/>
      <c r="O342" s="21">
        <v>1.2</v>
      </c>
      <c r="P342" s="42">
        <f>P271</f>
        <v>76.683999999999997</v>
      </c>
      <c r="Q342" s="42">
        <f>Q271</f>
        <v>76.325999999999993</v>
      </c>
      <c r="R342" s="60">
        <f>R271</f>
        <v>991.4</v>
      </c>
      <c r="S342" s="49">
        <f>S271</f>
        <v>0.48520000000000002</v>
      </c>
    </row>
    <row r="343" spans="1:19" x14ac:dyDescent="0.2">
      <c r="A343" s="21"/>
      <c r="B343" s="103"/>
      <c r="C343" s="21">
        <v>1.4</v>
      </c>
      <c r="D343" s="42">
        <f>D277</f>
        <v>68.416000000000011</v>
      </c>
      <c r="E343" s="42">
        <f>E277</f>
        <v>72.75</v>
      </c>
      <c r="F343" s="43">
        <f>F277</f>
        <v>630.6</v>
      </c>
      <c r="G343" s="49">
        <f>G277</f>
        <v>0.65800000000000014</v>
      </c>
      <c r="H343" s="103"/>
      <c r="I343" s="21">
        <v>1.4</v>
      </c>
      <c r="J343" s="42">
        <f>J277</f>
        <v>75.153999999999996</v>
      </c>
      <c r="K343" s="42">
        <f>K277</f>
        <v>75.144000000000005</v>
      </c>
      <c r="L343" s="43">
        <f>L277</f>
        <v>995.2</v>
      </c>
      <c r="M343" s="49">
        <f>M277</f>
        <v>0.49939999999999996</v>
      </c>
      <c r="N343" s="103"/>
      <c r="O343" s="21">
        <v>1.4</v>
      </c>
      <c r="P343" s="42">
        <f>P277</f>
        <v>76.830000000000013</v>
      </c>
      <c r="Q343" s="42">
        <f>Q277</f>
        <v>76.50800000000001</v>
      </c>
      <c r="R343" s="60">
        <f>R277</f>
        <v>980.8</v>
      </c>
      <c r="S343" s="49">
        <f>S277</f>
        <v>0.48659999999999998</v>
      </c>
    </row>
    <row r="344" spans="1:19" x14ac:dyDescent="0.2">
      <c r="A344" s="21"/>
      <c r="B344" s="103"/>
      <c r="C344" s="21">
        <v>1.6</v>
      </c>
      <c r="D344" s="42">
        <f>D283</f>
        <v>58.23599999999999</v>
      </c>
      <c r="E344" s="42">
        <f>E283</f>
        <v>69.47399999999999</v>
      </c>
      <c r="F344" s="43">
        <f>F283</f>
        <v>201.4</v>
      </c>
      <c r="G344" s="49">
        <f>G283</f>
        <v>0.86739999999999995</v>
      </c>
      <c r="H344" s="103"/>
      <c r="I344" s="21">
        <v>1.6</v>
      </c>
      <c r="J344" s="42">
        <f>J283</f>
        <v>71.004000000000005</v>
      </c>
      <c r="K344" s="42">
        <f>K283</f>
        <v>74.557999999999993</v>
      </c>
      <c r="L344" s="43">
        <f>L283</f>
        <v>610</v>
      </c>
      <c r="M344" s="49">
        <f>M283</f>
        <v>0.63760000000000006</v>
      </c>
      <c r="N344" s="103"/>
      <c r="O344" s="21">
        <v>1.6</v>
      </c>
      <c r="P344" s="42">
        <f>P283</f>
        <v>76.02000000000001</v>
      </c>
      <c r="Q344" s="42">
        <f>Q283</f>
        <v>76.645999999999987</v>
      </c>
      <c r="R344" s="43">
        <f>R283</f>
        <v>850.6</v>
      </c>
      <c r="S344" s="49">
        <f>S283</f>
        <v>0.5272</v>
      </c>
    </row>
    <row r="345" spans="1:19" x14ac:dyDescent="0.2">
      <c r="A345" s="21"/>
      <c r="B345" s="103"/>
      <c r="C345" s="21">
        <v>1.8</v>
      </c>
      <c r="D345" s="42">
        <f>D289</f>
        <v>51.182000000000002</v>
      </c>
      <c r="E345" s="42">
        <f>E289</f>
        <v>67.044000000000011</v>
      </c>
      <c r="F345" s="43">
        <f>F289</f>
        <v>27.6</v>
      </c>
      <c r="G345" s="49">
        <f>G289</f>
        <v>0.98100000000000009</v>
      </c>
      <c r="H345" s="103"/>
      <c r="I345" s="21">
        <v>1.8</v>
      </c>
      <c r="J345" s="42">
        <f>J289</f>
        <v>64.092000000000013</v>
      </c>
      <c r="K345" s="42">
        <f>K289</f>
        <v>72.063999999999993</v>
      </c>
      <c r="L345" s="43">
        <f>L289</f>
        <v>324.60000000000002</v>
      </c>
      <c r="M345" s="49">
        <f>M289</f>
        <v>0.77800000000000002</v>
      </c>
      <c r="N345" s="103"/>
      <c r="O345" s="21">
        <v>1.8</v>
      </c>
      <c r="P345" s="42">
        <f>P289</f>
        <v>66.323999999999998</v>
      </c>
      <c r="Q345" s="42">
        <f>Q289</f>
        <v>73.009999999999991</v>
      </c>
      <c r="R345" s="43">
        <f>R289</f>
        <v>358</v>
      </c>
      <c r="S345" s="49">
        <f>S289</f>
        <v>0.74740000000000006</v>
      </c>
    </row>
    <row r="346" spans="1:19" x14ac:dyDescent="0.2">
      <c r="A346" s="21"/>
      <c r="B346" s="101"/>
      <c r="C346" s="44">
        <v>2</v>
      </c>
      <c r="D346" s="45">
        <f>D295</f>
        <v>50.107999999999997</v>
      </c>
      <c r="E346" s="45">
        <f>E295</f>
        <v>66.707999999999998</v>
      </c>
      <c r="F346" s="46">
        <f>F295</f>
        <v>1.2</v>
      </c>
      <c r="G346" s="50">
        <f>G295</f>
        <v>0.99839999999999995</v>
      </c>
      <c r="H346" s="101"/>
      <c r="I346" s="44">
        <v>2</v>
      </c>
      <c r="J346" s="45">
        <f>J295</f>
        <v>54.05</v>
      </c>
      <c r="K346" s="45">
        <f>K295</f>
        <v>68.289999999999992</v>
      </c>
      <c r="L346" s="46">
        <f>L295</f>
        <v>65</v>
      </c>
      <c r="M346" s="50">
        <f>M295</f>
        <v>0.94320000000000004</v>
      </c>
      <c r="N346" s="101"/>
      <c r="O346" s="44">
        <v>2</v>
      </c>
      <c r="P346" s="45">
        <f>P295</f>
        <v>50.137999999999998</v>
      </c>
      <c r="Q346" s="45">
        <f>Q295</f>
        <v>66.722000000000008</v>
      </c>
      <c r="R346" s="46">
        <f>R295</f>
        <v>0.6</v>
      </c>
      <c r="S346" s="50">
        <f>S295</f>
        <v>0.99839999999999995</v>
      </c>
    </row>
    <row r="347" spans="1:19" x14ac:dyDescent="0.2">
      <c r="A347" s="21"/>
      <c r="B347" s="100">
        <v>16</v>
      </c>
      <c r="C347" s="39">
        <v>1</v>
      </c>
      <c r="D347" s="40">
        <f>D305</f>
        <v>72.61</v>
      </c>
      <c r="E347" s="40">
        <f>E305</f>
        <v>70.812000000000012</v>
      </c>
      <c r="F347" s="43">
        <f>F305</f>
        <v>1339</v>
      </c>
      <c r="G347" s="54">
        <f>G305</f>
        <v>0.43940000000000001</v>
      </c>
      <c r="H347" s="100">
        <v>16</v>
      </c>
      <c r="I347" s="39">
        <v>1</v>
      </c>
      <c r="J347" s="40">
        <f>J305</f>
        <v>75.536000000000001</v>
      </c>
      <c r="K347" s="40">
        <f>K305</f>
        <v>74.823999999999984</v>
      </c>
      <c r="L347" s="43">
        <f>L305</f>
        <v>1090.4000000000001</v>
      </c>
      <c r="M347" s="54">
        <f>M305</f>
        <v>0.47220000000000006</v>
      </c>
      <c r="N347" s="100">
        <v>16</v>
      </c>
      <c r="O347" s="39">
        <v>1</v>
      </c>
      <c r="P347" s="42">
        <f>P305</f>
        <v>77.53</v>
      </c>
      <c r="Q347" s="42">
        <f>Q305</f>
        <v>77.133999999999986</v>
      </c>
      <c r="R347" s="58">
        <f>R305</f>
        <v>966.8</v>
      </c>
      <c r="S347" s="49">
        <f>S305</f>
        <v>0.48299999999999998</v>
      </c>
    </row>
    <row r="348" spans="1:19" x14ac:dyDescent="0.2">
      <c r="A348" s="21"/>
      <c r="B348" s="103"/>
      <c r="C348" s="21">
        <v>1.2</v>
      </c>
      <c r="D348" s="42">
        <f>D311</f>
        <v>72.75800000000001</v>
      </c>
      <c r="E348" s="42">
        <f>E311</f>
        <v>71.804000000000002</v>
      </c>
      <c r="F348" s="43">
        <f>F311</f>
        <v>1224.4000000000001</v>
      </c>
      <c r="G348" s="54">
        <f>G311</f>
        <v>0.46659999999999996</v>
      </c>
      <c r="H348" s="103"/>
      <c r="I348" s="21">
        <v>1.2</v>
      </c>
      <c r="J348" s="42">
        <f>J311</f>
        <v>75.483999999999995</v>
      </c>
      <c r="K348" s="42">
        <f>K311</f>
        <v>74.84</v>
      </c>
      <c r="L348" s="43">
        <f>L311</f>
        <v>1082.2</v>
      </c>
      <c r="M348" s="54">
        <f>M311</f>
        <v>0.47339999999999999</v>
      </c>
      <c r="N348" s="103"/>
      <c r="O348" s="21">
        <v>1.2</v>
      </c>
      <c r="P348" s="42">
        <f>P311</f>
        <v>77.472000000000008</v>
      </c>
      <c r="Q348" s="42">
        <f>Q311</f>
        <v>76.975999999999999</v>
      </c>
      <c r="R348" s="58">
        <f>R311</f>
        <v>987</v>
      </c>
      <c r="S348" s="49">
        <f>S311</f>
        <v>0.47859999999999997</v>
      </c>
    </row>
    <row r="349" spans="1:19" x14ac:dyDescent="0.2">
      <c r="A349" s="21"/>
      <c r="B349" s="103"/>
      <c r="C349" s="21">
        <v>1.4</v>
      </c>
      <c r="D349" s="42">
        <f>D317</f>
        <v>68.26400000000001</v>
      </c>
      <c r="E349" s="42">
        <f>E317</f>
        <v>72.652000000000015</v>
      </c>
      <c r="F349" s="43">
        <f>F317</f>
        <v>632.20000000000005</v>
      </c>
      <c r="G349" s="54">
        <f>G317</f>
        <v>0.65959999999999996</v>
      </c>
      <c r="H349" s="103"/>
      <c r="I349" s="21">
        <v>1.4</v>
      </c>
      <c r="J349" s="42">
        <f>J317</f>
        <v>74.224000000000004</v>
      </c>
      <c r="K349" s="42">
        <f>K317</f>
        <v>74.567999999999998</v>
      </c>
      <c r="L349" s="43">
        <f>L317</f>
        <v>966.8</v>
      </c>
      <c r="M349" s="54">
        <f>M317</f>
        <v>0.51600000000000001</v>
      </c>
      <c r="N349" s="103"/>
      <c r="O349" s="21">
        <v>1.4</v>
      </c>
      <c r="P349" s="42">
        <f>P317</f>
        <v>77.003999999999991</v>
      </c>
      <c r="Q349" s="42">
        <f>Q317</f>
        <v>76.50800000000001</v>
      </c>
      <c r="R349" s="58">
        <f>R317</f>
        <v>1003.6</v>
      </c>
      <c r="S349" s="49">
        <f>S317</f>
        <v>0.47919999999999996</v>
      </c>
    </row>
    <row r="350" spans="1:19" x14ac:dyDescent="0.2">
      <c r="A350" s="21"/>
      <c r="B350" s="103"/>
      <c r="C350" s="21">
        <v>1.6</v>
      </c>
      <c r="D350" s="42">
        <f>D323</f>
        <v>54.584000000000003</v>
      </c>
      <c r="E350" s="42">
        <f>E323</f>
        <v>68.251999999999995</v>
      </c>
      <c r="F350" s="43">
        <f>F323</f>
        <v>97.6</v>
      </c>
      <c r="G350" s="54">
        <f>G323</f>
        <v>0.92979999999999996</v>
      </c>
      <c r="H350" s="103"/>
      <c r="I350" s="21">
        <v>1.6</v>
      </c>
      <c r="J350" s="42">
        <f>J323</f>
        <v>68.424000000000007</v>
      </c>
      <c r="K350" s="42">
        <f>K323</f>
        <v>73.703999999999994</v>
      </c>
      <c r="L350" s="43">
        <f>L323</f>
        <v>461.6</v>
      </c>
      <c r="M350" s="54">
        <f>M323</f>
        <v>0.7006</v>
      </c>
      <c r="N350" s="103"/>
      <c r="O350" s="21">
        <v>1.6</v>
      </c>
      <c r="P350" s="42">
        <f>P323</f>
        <v>75.998000000000005</v>
      </c>
      <c r="Q350" s="42">
        <f>Q323</f>
        <v>76.903999999999996</v>
      </c>
      <c r="R350" s="43">
        <f>R323</f>
        <v>802.6</v>
      </c>
      <c r="S350" s="49">
        <f>S323</f>
        <v>0.53939999999999999</v>
      </c>
    </row>
    <row r="351" spans="1:19" x14ac:dyDescent="0.2">
      <c r="B351" s="103"/>
      <c r="C351" s="21">
        <v>1.8</v>
      </c>
      <c r="D351" s="42">
        <f>D329</f>
        <v>50.246000000000002</v>
      </c>
      <c r="E351" s="42">
        <f>E329</f>
        <v>66.74199999999999</v>
      </c>
      <c r="F351" s="43">
        <f>F329</f>
        <v>6.2</v>
      </c>
      <c r="G351" s="54">
        <f>G329</f>
        <v>0.99580000000000002</v>
      </c>
      <c r="H351" s="103"/>
      <c r="I351" s="21">
        <v>1.8</v>
      </c>
      <c r="J351" s="42">
        <f>J329</f>
        <v>58.072000000000003</v>
      </c>
      <c r="K351" s="42">
        <f>K329</f>
        <v>69.676000000000002</v>
      </c>
      <c r="L351" s="43">
        <f>L329</f>
        <v>151</v>
      </c>
      <c r="M351" s="54">
        <f>M329</f>
        <v>0.88139999999999996</v>
      </c>
      <c r="N351" s="103"/>
      <c r="O351" s="21">
        <v>1.8</v>
      </c>
      <c r="P351" s="42">
        <f>P329</f>
        <v>70.201999999999998</v>
      </c>
      <c r="Q351" s="42">
        <f>Q329</f>
        <v>75.064000000000007</v>
      </c>
      <c r="R351" s="43">
        <f>R329</f>
        <v>451.6</v>
      </c>
      <c r="S351" s="49">
        <f>S329</f>
        <v>0.68500000000000005</v>
      </c>
    </row>
    <row r="352" spans="1:19" x14ac:dyDescent="0.2">
      <c r="B352" s="101"/>
      <c r="C352" s="44">
        <v>2</v>
      </c>
      <c r="D352" s="45">
        <f>D335</f>
        <v>50.037999999999997</v>
      </c>
      <c r="E352" s="45">
        <f>E335</f>
        <v>66.683999999999997</v>
      </c>
      <c r="F352" s="46">
        <f>F335</f>
        <v>0.4</v>
      </c>
      <c r="G352" s="55">
        <f>G335</f>
        <v>0.99920000000000009</v>
      </c>
      <c r="H352" s="101"/>
      <c r="I352" s="44">
        <v>2</v>
      </c>
      <c r="J352" s="45">
        <f>J335</f>
        <v>51.212000000000003</v>
      </c>
      <c r="K352" s="45">
        <f>K335</f>
        <v>67.08</v>
      </c>
      <c r="L352" s="46">
        <f>L335</f>
        <v>23.6</v>
      </c>
      <c r="M352" s="55">
        <f>M335</f>
        <v>0.98180000000000001</v>
      </c>
      <c r="N352" s="101"/>
      <c r="O352" s="44">
        <v>2</v>
      </c>
      <c r="P352" s="45">
        <f>P335</f>
        <v>50.971999999999994</v>
      </c>
      <c r="Q352" s="45">
        <f>Q335</f>
        <v>66.94</v>
      </c>
      <c r="R352" s="46">
        <f>R335</f>
        <v>14.2</v>
      </c>
      <c r="S352" s="50">
        <f>S335</f>
        <v>0.98840000000000006</v>
      </c>
    </row>
    <row r="354" spans="1:40" x14ac:dyDescent="0.2">
      <c r="F354" s="1">
        <f>(F341-F343)/F341</f>
        <v>0.50055441153175984</v>
      </c>
      <c r="G354" s="1">
        <f>(F347-F349)/F347</f>
        <v>0.52785660941000745</v>
      </c>
    </row>
    <row r="356" spans="1:40" x14ac:dyDescent="0.2">
      <c r="A356" s="24" t="s">
        <v>29</v>
      </c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1"/>
      <c r="V356" s="1"/>
      <c r="W356" s="1"/>
      <c r="X356" s="1"/>
    </row>
    <row r="357" spans="1:40" x14ac:dyDescent="0.2">
      <c r="A357" s="1"/>
      <c r="B357" s="1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40" x14ac:dyDescent="0.2">
      <c r="A358" s="1"/>
      <c r="B358" s="100" t="s">
        <v>23</v>
      </c>
      <c r="C358" s="107" t="s">
        <v>0</v>
      </c>
      <c r="D358" s="108"/>
      <c r="E358" s="108"/>
      <c r="F358" s="108"/>
      <c r="G358" s="108"/>
      <c r="H358" s="111"/>
      <c r="I358" s="103" t="s">
        <v>30</v>
      </c>
      <c r="J358" s="123"/>
      <c r="K358" s="123"/>
      <c r="L358" s="123"/>
      <c r="M358" s="103" t="s">
        <v>31</v>
      </c>
      <c r="N358" s="123"/>
      <c r="O358" s="123"/>
      <c r="P358" s="123"/>
      <c r="Q358" s="103" t="s">
        <v>32</v>
      </c>
      <c r="R358" s="123"/>
      <c r="S358" s="123"/>
      <c r="T358" s="123"/>
      <c r="U358" s="103" t="s">
        <v>33</v>
      </c>
      <c r="V358" s="123"/>
      <c r="W358" s="123"/>
      <c r="X358" s="123"/>
      <c r="Y358" s="103" t="s">
        <v>34</v>
      </c>
      <c r="Z358" s="123"/>
      <c r="AA358" s="123"/>
      <c r="AB358" s="123"/>
      <c r="AC358" s="103" t="s">
        <v>35</v>
      </c>
      <c r="AD358" s="123"/>
      <c r="AE358" s="123"/>
      <c r="AF358" s="123"/>
      <c r="AG358" s="103" t="s">
        <v>36</v>
      </c>
      <c r="AH358" s="123"/>
      <c r="AI358" s="123"/>
      <c r="AJ358" s="123"/>
    </row>
    <row r="359" spans="1:40" x14ac:dyDescent="0.2">
      <c r="A359" s="1"/>
      <c r="B359" s="101"/>
      <c r="C359" s="19" t="s">
        <v>3</v>
      </c>
      <c r="D359" s="1" t="s">
        <v>4</v>
      </c>
      <c r="E359" s="1" t="s">
        <v>6</v>
      </c>
      <c r="F359" s="2" t="s">
        <v>7</v>
      </c>
      <c r="G359" s="1" t="s">
        <v>24</v>
      </c>
      <c r="H359" s="8" t="s">
        <v>25</v>
      </c>
      <c r="I359" s="1" t="s">
        <v>6</v>
      </c>
      <c r="J359" s="2" t="s">
        <v>7</v>
      </c>
      <c r="K359" s="1" t="s">
        <v>24</v>
      </c>
      <c r="L359" s="8" t="s">
        <v>25</v>
      </c>
      <c r="M359" s="1" t="s">
        <v>6</v>
      </c>
      <c r="N359" s="2" t="s">
        <v>7</v>
      </c>
      <c r="O359" s="1" t="s">
        <v>24</v>
      </c>
      <c r="P359" s="8" t="s">
        <v>25</v>
      </c>
      <c r="Q359" s="1" t="s">
        <v>6</v>
      </c>
      <c r="R359" s="2" t="s">
        <v>7</v>
      </c>
      <c r="S359" s="1" t="s">
        <v>24</v>
      </c>
      <c r="T359" s="8" t="s">
        <v>25</v>
      </c>
      <c r="U359" s="1" t="s">
        <v>6</v>
      </c>
      <c r="V359" s="2" t="s">
        <v>7</v>
      </c>
      <c r="W359" s="1" t="s">
        <v>24</v>
      </c>
      <c r="X359" s="8" t="s">
        <v>25</v>
      </c>
      <c r="Y359" s="1" t="s">
        <v>6</v>
      </c>
      <c r="Z359" s="2" t="s">
        <v>7</v>
      </c>
      <c r="AA359" s="1" t="s">
        <v>24</v>
      </c>
      <c r="AB359" s="8" t="s">
        <v>25</v>
      </c>
      <c r="AC359" s="1" t="s">
        <v>6</v>
      </c>
      <c r="AD359" s="2" t="s">
        <v>7</v>
      </c>
      <c r="AE359" s="1" t="s">
        <v>24</v>
      </c>
      <c r="AF359" s="8" t="s">
        <v>25</v>
      </c>
      <c r="AG359" s="1" t="s">
        <v>6</v>
      </c>
      <c r="AH359" s="2" t="s">
        <v>7</v>
      </c>
      <c r="AI359" s="1" t="s">
        <v>24</v>
      </c>
      <c r="AJ359" s="8" t="s">
        <v>25</v>
      </c>
    </row>
    <row r="360" spans="1:40" x14ac:dyDescent="0.2">
      <c r="A360" s="1"/>
      <c r="B360" s="102">
        <v>1</v>
      </c>
      <c r="C360" s="104">
        <v>8</v>
      </c>
      <c r="D360" s="28">
        <v>13</v>
      </c>
      <c r="E360" s="25">
        <v>72.33</v>
      </c>
      <c r="F360" s="1">
        <v>71.08</v>
      </c>
      <c r="G360" s="25">
        <v>1460</v>
      </c>
      <c r="H360" s="36">
        <v>0.47099999999999997</v>
      </c>
      <c r="I360" s="25">
        <v>55.85</v>
      </c>
      <c r="J360" s="1">
        <v>68.67</v>
      </c>
      <c r="K360" s="25">
        <v>22</v>
      </c>
      <c r="L360" s="36">
        <v>0.92300000000000004</v>
      </c>
      <c r="M360" s="25">
        <v>70.14</v>
      </c>
      <c r="N360" s="1">
        <v>73.849999999999994</v>
      </c>
      <c r="O360" s="25">
        <v>644</v>
      </c>
      <c r="P360" s="36">
        <v>0.65600000000000003</v>
      </c>
      <c r="Q360" s="25">
        <v>71.77</v>
      </c>
      <c r="R360" s="1">
        <v>72.17</v>
      </c>
      <c r="S360" s="25">
        <v>1200</v>
      </c>
      <c r="T360" s="36">
        <v>0.52800000000000002</v>
      </c>
      <c r="U360" s="25">
        <v>72.319999999999993</v>
      </c>
      <c r="V360" s="1">
        <v>71.05</v>
      </c>
      <c r="W360" s="25">
        <v>1465</v>
      </c>
      <c r="X360" s="36">
        <v>0.47</v>
      </c>
      <c r="Y360" s="25">
        <v>72.33</v>
      </c>
      <c r="Z360" s="1">
        <v>71.069999999999993</v>
      </c>
      <c r="AA360" s="25">
        <v>1463</v>
      </c>
      <c r="AB360" s="36">
        <v>0.47</v>
      </c>
      <c r="AC360" s="25">
        <v>72.33</v>
      </c>
      <c r="AD360" s="1">
        <v>71.08</v>
      </c>
      <c r="AE360" s="25">
        <v>1460</v>
      </c>
      <c r="AF360" s="36">
        <v>0.47099999999999997</v>
      </c>
      <c r="AG360" s="25">
        <v>72.33</v>
      </c>
      <c r="AH360" s="1">
        <v>71.08</v>
      </c>
      <c r="AI360" s="25">
        <v>1460</v>
      </c>
      <c r="AJ360" s="36">
        <v>0.47099999999999997</v>
      </c>
    </row>
    <row r="361" spans="1:40" x14ac:dyDescent="0.2">
      <c r="A361" s="1"/>
      <c r="B361" s="103"/>
      <c r="C361" s="105"/>
      <c r="D361" s="29">
        <v>21</v>
      </c>
      <c r="E361" s="4">
        <v>72.489999999999995</v>
      </c>
      <c r="F361" s="4">
        <v>73.099999999999994</v>
      </c>
      <c r="G361" s="1">
        <v>1124</v>
      </c>
      <c r="H361" s="8">
        <v>0.53600000000000003</v>
      </c>
      <c r="I361" s="4">
        <v>57.53</v>
      </c>
      <c r="J361" s="4">
        <v>26.96</v>
      </c>
      <c r="K361" s="1">
        <v>4077</v>
      </c>
      <c r="L361" s="8">
        <v>9.5000000000000001E-2</v>
      </c>
      <c r="M361" s="4">
        <v>71.540000000000006</v>
      </c>
      <c r="N361" s="4">
        <v>69.87</v>
      </c>
      <c r="O361" s="1">
        <v>1561</v>
      </c>
      <c r="P361" s="8">
        <v>0.45900000000000002</v>
      </c>
      <c r="Q361" s="4">
        <v>72.47</v>
      </c>
      <c r="R361" s="4">
        <v>73.900000000000006</v>
      </c>
      <c r="S361" s="1">
        <v>963</v>
      </c>
      <c r="T361" s="8">
        <v>0.56899999999999995</v>
      </c>
      <c r="U361" s="4">
        <v>72.5</v>
      </c>
      <c r="V361" s="4">
        <v>73.19</v>
      </c>
      <c r="W361" s="1">
        <v>1107</v>
      </c>
      <c r="X361" s="8">
        <v>0.54</v>
      </c>
      <c r="Y361" s="4">
        <v>72.5</v>
      </c>
      <c r="Z361" s="4">
        <v>73.16</v>
      </c>
      <c r="AA361" s="1">
        <v>1114</v>
      </c>
      <c r="AB361" s="8">
        <v>0.53800000000000003</v>
      </c>
      <c r="AC361" s="4">
        <v>72.5</v>
      </c>
      <c r="AD361" s="4">
        <v>73.099999999999994</v>
      </c>
      <c r="AE361" s="1">
        <v>1125</v>
      </c>
      <c r="AF361" s="8">
        <v>0.53600000000000003</v>
      </c>
      <c r="AG361" s="4">
        <v>72.489999999999995</v>
      </c>
      <c r="AH361" s="4">
        <v>73.099999999999994</v>
      </c>
      <c r="AI361" s="1">
        <v>1124</v>
      </c>
      <c r="AJ361" s="8">
        <v>0.53600000000000003</v>
      </c>
    </row>
    <row r="362" spans="1:40" x14ac:dyDescent="0.2">
      <c r="A362" s="1"/>
      <c r="B362" s="103"/>
      <c r="C362" s="105"/>
      <c r="D362" s="29">
        <v>47</v>
      </c>
      <c r="E362" s="4">
        <v>72.38</v>
      </c>
      <c r="F362" s="4">
        <v>72.16</v>
      </c>
      <c r="G362" s="1">
        <v>1281</v>
      </c>
      <c r="H362" s="8">
        <v>0.50600000000000001</v>
      </c>
      <c r="I362" s="4">
        <v>70.09</v>
      </c>
      <c r="J362" s="4">
        <v>73.45</v>
      </c>
      <c r="K362" s="1">
        <v>724</v>
      </c>
      <c r="L362" s="8">
        <v>0.64</v>
      </c>
      <c r="M362" s="4">
        <v>71.180000000000007</v>
      </c>
      <c r="N362" s="4">
        <v>73.88</v>
      </c>
      <c r="O362" s="1">
        <v>785</v>
      </c>
      <c r="P362" s="8">
        <v>0.61699999999999999</v>
      </c>
      <c r="Q362" s="4">
        <v>72.47</v>
      </c>
      <c r="R362" s="4">
        <v>71.14</v>
      </c>
      <c r="S362" s="1">
        <v>1468</v>
      </c>
      <c r="T362" s="8">
        <v>0.46800000000000003</v>
      </c>
      <c r="U362" s="4">
        <v>72.400000000000006</v>
      </c>
      <c r="V362" s="4">
        <v>72.14</v>
      </c>
      <c r="W362" s="1">
        <v>1287</v>
      </c>
      <c r="X362" s="8">
        <v>0.505</v>
      </c>
      <c r="Y362" s="4">
        <v>72.38</v>
      </c>
      <c r="Z362" s="4">
        <v>72.150000000000006</v>
      </c>
      <c r="AA362" s="1">
        <v>1284</v>
      </c>
      <c r="AB362" s="8">
        <v>0.50600000000000001</v>
      </c>
      <c r="AC362" s="4">
        <v>72.39</v>
      </c>
      <c r="AD362" s="4">
        <v>72.2</v>
      </c>
      <c r="AE362" s="1">
        <v>1276</v>
      </c>
      <c r="AF362" s="8">
        <v>0.50700000000000001</v>
      </c>
      <c r="AG362" s="4">
        <v>72.38</v>
      </c>
      <c r="AH362" s="4">
        <v>72.17</v>
      </c>
      <c r="AI362" s="1">
        <v>1280</v>
      </c>
      <c r="AJ362" s="8">
        <v>0.50600000000000001</v>
      </c>
    </row>
    <row r="363" spans="1:40" x14ac:dyDescent="0.2">
      <c r="A363" s="1"/>
      <c r="B363" s="103"/>
      <c r="C363" s="105"/>
      <c r="D363" s="29">
        <v>50</v>
      </c>
      <c r="E363" s="4">
        <v>72.64</v>
      </c>
      <c r="F363" s="4">
        <v>71.849999999999994</v>
      </c>
      <c r="G363" s="1">
        <v>1369</v>
      </c>
      <c r="H363" s="8">
        <v>0.48599999999999999</v>
      </c>
      <c r="I363" s="4">
        <v>69.38</v>
      </c>
      <c r="J363" s="4">
        <v>69</v>
      </c>
      <c r="K363" s="1">
        <v>1453</v>
      </c>
      <c r="L363" s="8">
        <v>0.502</v>
      </c>
      <c r="M363" s="4">
        <v>70.400000000000006</v>
      </c>
      <c r="N363" s="4">
        <v>65.489999999999995</v>
      </c>
      <c r="O363" s="1">
        <v>2052</v>
      </c>
      <c r="P363" s="8">
        <v>0.372</v>
      </c>
      <c r="Q363" s="4">
        <v>72.28</v>
      </c>
      <c r="R363" s="4">
        <v>72.75</v>
      </c>
      <c r="S363" s="1">
        <v>1161</v>
      </c>
      <c r="T363" s="8">
        <v>0.53100000000000003</v>
      </c>
      <c r="U363" s="4">
        <v>72.63</v>
      </c>
      <c r="V363" s="4">
        <v>71.459999999999994</v>
      </c>
      <c r="W363" s="1">
        <v>1434</v>
      </c>
      <c r="X363" s="8">
        <v>0.47299999999999998</v>
      </c>
      <c r="Y363" s="4">
        <v>72.66</v>
      </c>
      <c r="Z363" s="4">
        <v>71.83</v>
      </c>
      <c r="AA363" s="1">
        <v>1375</v>
      </c>
      <c r="AB363" s="8">
        <v>0.48499999999999999</v>
      </c>
      <c r="AC363" s="4">
        <v>72.66</v>
      </c>
      <c r="AD363" s="4">
        <v>71.83</v>
      </c>
      <c r="AE363" s="1">
        <v>1375</v>
      </c>
      <c r="AF363" s="8">
        <v>0.48499999999999999</v>
      </c>
      <c r="AG363" s="4">
        <v>72.650000000000006</v>
      </c>
      <c r="AH363" s="4">
        <v>71.86</v>
      </c>
      <c r="AI363" s="1">
        <v>1369</v>
      </c>
      <c r="AJ363" s="8">
        <v>0.48599999999999999</v>
      </c>
    </row>
    <row r="364" spans="1:40" x14ac:dyDescent="0.2">
      <c r="A364" s="1"/>
      <c r="B364" s="103"/>
      <c r="C364" s="105"/>
      <c r="D364" s="30">
        <v>91</v>
      </c>
      <c r="E364" s="27">
        <v>71.87</v>
      </c>
      <c r="F364" s="27">
        <v>70.92</v>
      </c>
      <c r="G364" s="26">
        <v>1431</v>
      </c>
      <c r="H364" s="32">
        <v>0.48099999999999998</v>
      </c>
      <c r="I364" s="27">
        <v>52.71</v>
      </c>
      <c r="J364" s="27">
        <v>6.08</v>
      </c>
      <c r="K364" s="26">
        <v>4708</v>
      </c>
      <c r="L364" s="32">
        <v>1.7000000000000001E-2</v>
      </c>
      <c r="M364" s="27">
        <v>71.599999999999994</v>
      </c>
      <c r="N364" s="27">
        <v>71.45</v>
      </c>
      <c r="O364" s="26">
        <v>1308</v>
      </c>
      <c r="P364" s="32">
        <v>0.50900000000000001</v>
      </c>
      <c r="Q364" s="27">
        <v>71.819999999999993</v>
      </c>
      <c r="R364" s="27">
        <v>69.66</v>
      </c>
      <c r="S364" s="26">
        <v>1626</v>
      </c>
      <c r="T364" s="32">
        <v>0.443</v>
      </c>
      <c r="U364" s="27">
        <v>71.84</v>
      </c>
      <c r="V364" s="27">
        <v>71.19</v>
      </c>
      <c r="W364" s="26">
        <v>1382</v>
      </c>
      <c r="X364" s="32">
        <v>0.49099999999999999</v>
      </c>
      <c r="Y364" s="27">
        <v>71.87</v>
      </c>
      <c r="Z364" s="27">
        <v>70.94</v>
      </c>
      <c r="AA364" s="26">
        <v>1427</v>
      </c>
      <c r="AB364" s="32">
        <v>0.48199999999999998</v>
      </c>
      <c r="AC364" s="27">
        <v>71.88</v>
      </c>
      <c r="AD364" s="27">
        <v>70.930000000000007</v>
      </c>
      <c r="AE364" s="26">
        <v>1431</v>
      </c>
      <c r="AF364" s="32">
        <v>0.48099999999999998</v>
      </c>
      <c r="AG364" s="27">
        <v>71.88</v>
      </c>
      <c r="AH364" s="27">
        <v>70.930000000000007</v>
      </c>
      <c r="AI364" s="26">
        <v>1431</v>
      </c>
      <c r="AJ364" s="32">
        <v>0.48099999999999998</v>
      </c>
    </row>
    <row r="365" spans="1:40" x14ac:dyDescent="0.2">
      <c r="A365" s="1"/>
      <c r="B365" s="101"/>
      <c r="C365" s="105"/>
      <c r="D365" s="6" t="s">
        <v>8</v>
      </c>
      <c r="E365" s="7">
        <f>AVERAGE(E360:E364)</f>
        <v>72.341999999999999</v>
      </c>
      <c r="F365" s="7">
        <f>AVERAGE(F360:F364)</f>
        <v>71.822000000000003</v>
      </c>
      <c r="G365" s="35">
        <f t="shared" ref="G365:H365" si="93">AVERAGE(G360:G364)</f>
        <v>1333</v>
      </c>
      <c r="H365" s="34">
        <f t="shared" si="93"/>
        <v>0.496</v>
      </c>
      <c r="I365" s="7">
        <f t="shared" ref="I365:AJ365" si="94">AVERAGE(I360:I364)</f>
        <v>61.112000000000002</v>
      </c>
      <c r="J365" s="7">
        <f t="shared" si="94"/>
        <v>48.832000000000001</v>
      </c>
      <c r="K365" s="35">
        <f t="shared" si="94"/>
        <v>2196.8000000000002</v>
      </c>
      <c r="L365" s="34">
        <f t="shared" si="94"/>
        <v>0.43540000000000001</v>
      </c>
      <c r="M365" s="7">
        <f t="shared" si="94"/>
        <v>70.972000000000008</v>
      </c>
      <c r="N365" s="7">
        <f t="shared" si="94"/>
        <v>70.907999999999987</v>
      </c>
      <c r="O365" s="35">
        <f t="shared" si="94"/>
        <v>1270</v>
      </c>
      <c r="P365" s="34">
        <f t="shared" si="94"/>
        <v>0.52259999999999995</v>
      </c>
      <c r="Q365" s="7">
        <f t="shared" si="94"/>
        <v>72.162000000000006</v>
      </c>
      <c r="R365" s="7">
        <f t="shared" si="94"/>
        <v>71.924000000000007</v>
      </c>
      <c r="S365" s="35">
        <f t="shared" si="94"/>
        <v>1283.5999999999999</v>
      </c>
      <c r="T365" s="34">
        <f t="shared" si="94"/>
        <v>0.50780000000000003</v>
      </c>
      <c r="U365" s="7">
        <f t="shared" si="94"/>
        <v>72.338000000000008</v>
      </c>
      <c r="V365" s="7">
        <f t="shared" si="94"/>
        <v>71.805999999999997</v>
      </c>
      <c r="W365" s="35">
        <f t="shared" si="94"/>
        <v>1335</v>
      </c>
      <c r="X365" s="34">
        <f t="shared" si="94"/>
        <v>0.49580000000000002</v>
      </c>
      <c r="Y365" s="7">
        <f t="shared" si="94"/>
        <v>72.347999999999999</v>
      </c>
      <c r="Z365" s="7">
        <f t="shared" si="94"/>
        <v>71.83</v>
      </c>
      <c r="AA365" s="35">
        <f t="shared" si="94"/>
        <v>1332.6</v>
      </c>
      <c r="AB365" s="34">
        <f t="shared" si="94"/>
        <v>0.49619999999999997</v>
      </c>
      <c r="AC365" s="7">
        <f t="shared" si="94"/>
        <v>72.352000000000004</v>
      </c>
      <c r="AD365" s="7">
        <f t="shared" si="94"/>
        <v>71.828000000000003</v>
      </c>
      <c r="AE365" s="35">
        <f t="shared" si="94"/>
        <v>1333.4</v>
      </c>
      <c r="AF365" s="34">
        <f t="shared" si="94"/>
        <v>0.496</v>
      </c>
      <c r="AG365" s="7">
        <f t="shared" si="94"/>
        <v>72.346000000000004</v>
      </c>
      <c r="AH365" s="7">
        <f t="shared" si="94"/>
        <v>71.828000000000003</v>
      </c>
      <c r="AI365" s="35">
        <f t="shared" si="94"/>
        <v>1332.8</v>
      </c>
      <c r="AJ365" s="34">
        <f t="shared" si="94"/>
        <v>0.496</v>
      </c>
      <c r="AM365" s="1">
        <f>(E365-Q365)*100/E365</f>
        <v>0.24881811395868597</v>
      </c>
      <c r="AN365" s="1">
        <f>(E365-U365)*100/E365</f>
        <v>5.5292914212914735E-3</v>
      </c>
    </row>
    <row r="366" spans="1:40" x14ac:dyDescent="0.2">
      <c r="A366" s="1"/>
      <c r="B366" s="104">
        <v>1.2</v>
      </c>
      <c r="C366" s="105"/>
      <c r="D366" s="28">
        <v>13</v>
      </c>
      <c r="E366" s="25">
        <v>71.78</v>
      </c>
      <c r="F366" s="25">
        <v>72.510000000000005</v>
      </c>
      <c r="G366" s="25">
        <v>1139</v>
      </c>
      <c r="H366" s="31">
        <v>0.54100000000000004</v>
      </c>
      <c r="I366" s="25">
        <v>70.83</v>
      </c>
      <c r="J366" s="1">
        <v>73.989999999999995</v>
      </c>
      <c r="K366" s="25">
        <v>713</v>
      </c>
      <c r="L366" s="36">
        <v>0.63500000000000001</v>
      </c>
      <c r="M366" s="25">
        <v>71.67</v>
      </c>
      <c r="N366" s="1">
        <v>71.59</v>
      </c>
      <c r="O366" s="25">
        <v>713</v>
      </c>
      <c r="P366" s="36">
        <v>0.63500000000000001</v>
      </c>
      <c r="Q366" s="25">
        <v>71.67</v>
      </c>
      <c r="R366" s="1">
        <v>71.59</v>
      </c>
      <c r="S366" s="25">
        <v>1291</v>
      </c>
      <c r="T366" s="36">
        <v>0.51100000000000001</v>
      </c>
      <c r="U366" s="25">
        <v>71.760000000000005</v>
      </c>
      <c r="V366" s="1">
        <v>72.34</v>
      </c>
      <c r="W366" s="25">
        <v>1169</v>
      </c>
      <c r="X366" s="36">
        <v>0.53500000000000003</v>
      </c>
      <c r="Y366" s="25">
        <v>71.7</v>
      </c>
      <c r="Z366" s="1">
        <v>72.349999999999994</v>
      </c>
      <c r="AA366" s="25">
        <v>1159</v>
      </c>
      <c r="AB366" s="36">
        <v>0.53700000000000003</v>
      </c>
      <c r="AC366" s="25">
        <v>71.709999999999994</v>
      </c>
      <c r="AD366" s="1">
        <v>72.459999999999994</v>
      </c>
      <c r="AE366" s="25">
        <v>1139</v>
      </c>
      <c r="AF366" s="36">
        <v>0.54100000000000004</v>
      </c>
      <c r="AG366" s="25">
        <v>71.78</v>
      </c>
      <c r="AH366" s="1">
        <v>72.510000000000005</v>
      </c>
      <c r="AI366" s="25">
        <v>1139</v>
      </c>
      <c r="AJ366" s="36">
        <v>0.54100000000000004</v>
      </c>
    </row>
    <row r="367" spans="1:40" x14ac:dyDescent="0.2">
      <c r="A367" s="1"/>
      <c r="B367" s="105"/>
      <c r="C367" s="105"/>
      <c r="D367" s="29">
        <v>21</v>
      </c>
      <c r="E367" s="4">
        <v>71.95</v>
      </c>
      <c r="F367" s="4">
        <v>72.16</v>
      </c>
      <c r="G367" s="1">
        <v>1225</v>
      </c>
      <c r="H367" s="33">
        <v>0.52200000000000002</v>
      </c>
      <c r="I367" s="4">
        <v>62.22</v>
      </c>
      <c r="J367" s="4">
        <v>41.73</v>
      </c>
      <c r="K367" s="1">
        <v>3508</v>
      </c>
      <c r="L367" s="8">
        <v>0.16200000000000001</v>
      </c>
      <c r="M367" s="4">
        <v>68.58</v>
      </c>
      <c r="N367" s="4">
        <v>74.11</v>
      </c>
      <c r="O367" s="1">
        <v>364</v>
      </c>
      <c r="P367" s="8">
        <v>0.72799999999999998</v>
      </c>
      <c r="Q367" s="4">
        <v>71.77</v>
      </c>
      <c r="R367" s="4">
        <v>72.209999999999994</v>
      </c>
      <c r="S367" s="1">
        <v>1193</v>
      </c>
      <c r="T367" s="8">
        <v>0.53</v>
      </c>
      <c r="U367" s="4">
        <v>71.849999999999994</v>
      </c>
      <c r="V367" s="4">
        <v>72.400000000000006</v>
      </c>
      <c r="W367" s="1">
        <v>1188</v>
      </c>
      <c r="X367" s="8">
        <v>0.53</v>
      </c>
      <c r="Y367" s="4">
        <v>71.959999999999994</v>
      </c>
      <c r="Z367" s="4">
        <v>72.22</v>
      </c>
      <c r="AA367" s="1">
        <v>1216</v>
      </c>
      <c r="AB367" s="8">
        <v>0.52300000000000002</v>
      </c>
      <c r="AC367" s="4">
        <v>71.95</v>
      </c>
      <c r="AD367" s="4">
        <v>72.16</v>
      </c>
      <c r="AE367" s="1">
        <v>1226</v>
      </c>
      <c r="AF367" s="8">
        <v>0.52100000000000002</v>
      </c>
      <c r="AG367" s="4">
        <v>71.97</v>
      </c>
      <c r="AH367" s="4">
        <v>72.19</v>
      </c>
      <c r="AI367" s="1">
        <v>1223</v>
      </c>
      <c r="AJ367" s="8">
        <v>0.52200000000000002</v>
      </c>
    </row>
    <row r="368" spans="1:40" x14ac:dyDescent="0.2">
      <c r="A368" s="1"/>
      <c r="B368" s="105"/>
      <c r="C368" s="105"/>
      <c r="D368" s="29">
        <v>47</v>
      </c>
      <c r="E368" s="4">
        <v>71.84</v>
      </c>
      <c r="F368" s="4">
        <v>72.87</v>
      </c>
      <c r="G368" s="1">
        <v>1079</v>
      </c>
      <c r="H368" s="8">
        <v>0.55200000000000005</v>
      </c>
      <c r="I368" s="4">
        <v>49.04</v>
      </c>
      <c r="J368" s="4">
        <v>65.61</v>
      </c>
      <c r="K368" s="1">
        <v>0</v>
      </c>
      <c r="L368" s="8">
        <v>0.996</v>
      </c>
      <c r="M368" s="4">
        <v>72.11</v>
      </c>
      <c r="N368" s="4">
        <v>70.209999999999994</v>
      </c>
      <c r="O368" s="1">
        <v>1575</v>
      </c>
      <c r="P368" s="8">
        <v>0.45</v>
      </c>
      <c r="Q368" s="4">
        <v>71.400000000000006</v>
      </c>
      <c r="R368" s="4">
        <v>73.37</v>
      </c>
      <c r="S368" s="1">
        <v>922</v>
      </c>
      <c r="T368" s="8">
        <v>0.58799999999999997</v>
      </c>
      <c r="U368" s="4">
        <v>71.84</v>
      </c>
      <c r="V368" s="4">
        <v>73.239999999999995</v>
      </c>
      <c r="W368" s="1">
        <v>1008</v>
      </c>
      <c r="X368" s="8">
        <v>0.56599999999999995</v>
      </c>
      <c r="Y368" s="4">
        <v>71.89</v>
      </c>
      <c r="Z368" s="4">
        <v>72.87</v>
      </c>
      <c r="AA368" s="1">
        <v>1086</v>
      </c>
      <c r="AB368" s="8">
        <v>0.55000000000000004</v>
      </c>
      <c r="AC368" s="4">
        <v>71.84</v>
      </c>
      <c r="AD368" s="4">
        <v>72.87</v>
      </c>
      <c r="AE368" s="1">
        <v>1079</v>
      </c>
      <c r="AF368" s="8">
        <v>0.55200000000000005</v>
      </c>
      <c r="AG368" s="4">
        <v>71.84</v>
      </c>
      <c r="AH368" s="4">
        <v>72.87</v>
      </c>
      <c r="AI368" s="1">
        <v>1079</v>
      </c>
      <c r="AJ368" s="8">
        <v>0.55200000000000005</v>
      </c>
    </row>
    <row r="369" spans="1:40" x14ac:dyDescent="0.2">
      <c r="A369" s="1"/>
      <c r="B369" s="105"/>
      <c r="C369" s="105"/>
      <c r="D369" s="29">
        <v>50</v>
      </c>
      <c r="E369" s="4">
        <v>70.98</v>
      </c>
      <c r="F369" s="4">
        <v>71.45</v>
      </c>
      <c r="G369" s="1">
        <v>1229</v>
      </c>
      <c r="H369" s="8">
        <v>0.53100000000000003</v>
      </c>
      <c r="I369" s="4">
        <v>63.41</v>
      </c>
      <c r="J369" s="4">
        <v>46.06</v>
      </c>
      <c r="K369" s="1">
        <v>3299</v>
      </c>
      <c r="L369" s="8">
        <v>0.192</v>
      </c>
      <c r="M369" s="4">
        <v>67.599999999999994</v>
      </c>
      <c r="N369" s="4">
        <v>73.45</v>
      </c>
      <c r="O369" s="1">
        <v>380</v>
      </c>
      <c r="P369" s="8">
        <v>0.73399999999999999</v>
      </c>
      <c r="Q369" s="4">
        <v>70.78</v>
      </c>
      <c r="R369" s="4">
        <v>71.86</v>
      </c>
      <c r="S369" s="1">
        <v>1131</v>
      </c>
      <c r="T369" s="8">
        <v>0.55200000000000005</v>
      </c>
      <c r="U369" s="4">
        <v>71.08</v>
      </c>
      <c r="V369" s="4">
        <v>71.28</v>
      </c>
      <c r="W369" s="1">
        <v>1273</v>
      </c>
      <c r="X369" s="8">
        <v>0.52100000000000002</v>
      </c>
      <c r="Y369" s="4">
        <v>70.959999999999994</v>
      </c>
      <c r="Z369" s="4">
        <v>71.47</v>
      </c>
      <c r="AA369" s="1">
        <v>1224</v>
      </c>
      <c r="AB369" s="8">
        <v>0.52100000000000002</v>
      </c>
      <c r="AC369" s="4">
        <v>71.02</v>
      </c>
      <c r="AD369" s="4">
        <v>71.48</v>
      </c>
      <c r="AE369" s="1">
        <v>1230</v>
      </c>
      <c r="AF369" s="8">
        <v>0.52900000000000003</v>
      </c>
      <c r="AG369" s="4">
        <v>70.98</v>
      </c>
      <c r="AH369" s="4">
        <v>71.45</v>
      </c>
      <c r="AI369" s="1">
        <v>1229</v>
      </c>
      <c r="AJ369" s="8">
        <v>0.53</v>
      </c>
    </row>
    <row r="370" spans="1:40" x14ac:dyDescent="0.2">
      <c r="A370" s="1"/>
      <c r="B370" s="105"/>
      <c r="C370" s="105"/>
      <c r="D370" s="30">
        <v>91</v>
      </c>
      <c r="E370" s="27">
        <v>69.849999999999994</v>
      </c>
      <c r="F370" s="27">
        <v>68.25</v>
      </c>
      <c r="G370" s="26">
        <v>1620</v>
      </c>
      <c r="H370" s="32">
        <v>0.46400000000000002</v>
      </c>
      <c r="I370" s="27">
        <v>68.819999999999993</v>
      </c>
      <c r="J370" s="27">
        <v>70.84</v>
      </c>
      <c r="K370" s="26">
        <v>1074</v>
      </c>
      <c r="L370" s="32">
        <v>0.58399999999999996</v>
      </c>
      <c r="M370" s="27">
        <v>69.8</v>
      </c>
      <c r="N370" s="27">
        <v>72.02</v>
      </c>
      <c r="O370" s="26">
        <v>974</v>
      </c>
      <c r="P370" s="32">
        <v>0.59299999999999997</v>
      </c>
      <c r="Q370" s="27">
        <v>70.209999999999994</v>
      </c>
      <c r="R370" s="27">
        <v>70.599999999999994</v>
      </c>
      <c r="S370" s="26">
        <v>1285</v>
      </c>
      <c r="T370" s="32">
        <v>0.52700000000000002</v>
      </c>
      <c r="U370" s="27">
        <v>69.540000000000006</v>
      </c>
      <c r="V370" s="27">
        <v>67.599999999999994</v>
      </c>
      <c r="W370" s="26">
        <v>1683</v>
      </c>
      <c r="X370" s="32">
        <v>0.45400000000000001</v>
      </c>
      <c r="Y370" s="27">
        <v>69.739999999999995</v>
      </c>
      <c r="Z370" s="27">
        <v>67.97</v>
      </c>
      <c r="AA370" s="26">
        <v>1650</v>
      </c>
      <c r="AB370" s="32">
        <v>0.45900000000000002</v>
      </c>
      <c r="AC370" s="27">
        <v>69.83</v>
      </c>
      <c r="AD370" s="27">
        <v>68.209999999999994</v>
      </c>
      <c r="AE370" s="26">
        <v>1635</v>
      </c>
      <c r="AF370" s="32">
        <v>0.46300000000000002</v>
      </c>
      <c r="AG370" s="27">
        <v>69.849999999999994</v>
      </c>
      <c r="AH370" s="27">
        <v>68.25</v>
      </c>
      <c r="AI370" s="26">
        <v>1620</v>
      </c>
      <c r="AJ370" s="32">
        <v>0.46400000000000002</v>
      </c>
    </row>
    <row r="371" spans="1:40" x14ac:dyDescent="0.2">
      <c r="A371" s="1"/>
      <c r="B371" s="106"/>
      <c r="C371" s="105"/>
      <c r="D371" s="6" t="s">
        <v>8</v>
      </c>
      <c r="E371" s="7">
        <f>AVERAGE(E366:E370)</f>
        <v>71.28</v>
      </c>
      <c r="F371" s="7">
        <f>AVERAGE(F366:F370)</f>
        <v>71.448000000000008</v>
      </c>
      <c r="G371" s="35">
        <f t="shared" ref="G371:H371" si="95">AVERAGE(G366:G370)</f>
        <v>1258.4000000000001</v>
      </c>
      <c r="H371" s="34">
        <f t="shared" si="95"/>
        <v>0.52200000000000002</v>
      </c>
      <c r="I371" s="7">
        <f t="shared" ref="I371:AJ371" si="96">AVERAGE(I366:I370)</f>
        <v>62.863999999999997</v>
      </c>
      <c r="J371" s="7">
        <f t="shared" si="96"/>
        <v>59.646000000000001</v>
      </c>
      <c r="K371" s="35">
        <f t="shared" si="96"/>
        <v>1718.8</v>
      </c>
      <c r="L371" s="34">
        <f t="shared" si="96"/>
        <v>0.51380000000000003</v>
      </c>
      <c r="M371" s="7">
        <f t="shared" si="96"/>
        <v>69.952000000000012</v>
      </c>
      <c r="N371" s="7">
        <f t="shared" si="96"/>
        <v>72.275999999999982</v>
      </c>
      <c r="O371" s="35">
        <f t="shared" si="96"/>
        <v>801.2</v>
      </c>
      <c r="P371" s="34">
        <f t="shared" si="96"/>
        <v>0.62799999999999989</v>
      </c>
      <c r="Q371" s="7">
        <f t="shared" si="96"/>
        <v>71.165999999999997</v>
      </c>
      <c r="R371" s="7">
        <f t="shared" si="96"/>
        <v>71.926000000000002</v>
      </c>
      <c r="S371" s="35">
        <f t="shared" si="96"/>
        <v>1164.4000000000001</v>
      </c>
      <c r="T371" s="34">
        <f t="shared" si="96"/>
        <v>0.54160000000000008</v>
      </c>
      <c r="U371" s="7">
        <f t="shared" si="96"/>
        <v>71.214000000000013</v>
      </c>
      <c r="V371" s="7">
        <f t="shared" si="96"/>
        <v>71.372</v>
      </c>
      <c r="W371" s="35">
        <f t="shared" si="96"/>
        <v>1264.2</v>
      </c>
      <c r="X371" s="34">
        <f t="shared" si="96"/>
        <v>0.5212</v>
      </c>
      <c r="Y371" s="7">
        <f t="shared" si="96"/>
        <v>71.25</v>
      </c>
      <c r="Z371" s="7">
        <f t="shared" si="96"/>
        <v>71.376000000000005</v>
      </c>
      <c r="AA371" s="35">
        <f t="shared" si="96"/>
        <v>1267</v>
      </c>
      <c r="AB371" s="34">
        <f t="shared" si="96"/>
        <v>0.51800000000000002</v>
      </c>
      <c r="AC371" s="7">
        <f t="shared" si="96"/>
        <v>71.27</v>
      </c>
      <c r="AD371" s="7">
        <f t="shared" si="96"/>
        <v>71.436000000000007</v>
      </c>
      <c r="AE371" s="35">
        <f t="shared" si="96"/>
        <v>1261.8</v>
      </c>
      <c r="AF371" s="34">
        <f t="shared" si="96"/>
        <v>0.52120000000000011</v>
      </c>
      <c r="AG371" s="7">
        <f t="shared" si="96"/>
        <v>71.283999999999992</v>
      </c>
      <c r="AH371" s="7">
        <f t="shared" si="96"/>
        <v>71.453999999999994</v>
      </c>
      <c r="AI371" s="35">
        <f t="shared" si="96"/>
        <v>1258</v>
      </c>
      <c r="AJ371" s="34">
        <f t="shared" si="96"/>
        <v>0.52180000000000004</v>
      </c>
      <c r="AM371" s="1">
        <f>(E371-Q371)*100/E371</f>
        <v>0.15993265993266598</v>
      </c>
      <c r="AN371" s="1">
        <f>(E371-U371)*100/E371</f>
        <v>9.259259259257617E-2</v>
      </c>
    </row>
    <row r="372" spans="1:40" x14ac:dyDescent="0.2">
      <c r="A372" s="1"/>
      <c r="B372" s="104">
        <v>1.4</v>
      </c>
      <c r="C372" s="105"/>
      <c r="D372" s="28">
        <v>13</v>
      </c>
      <c r="E372" s="25">
        <v>71.22</v>
      </c>
      <c r="F372" s="25">
        <v>72.290000000000006</v>
      </c>
      <c r="G372" s="25">
        <v>1106</v>
      </c>
      <c r="H372" s="31">
        <v>0.55300000000000005</v>
      </c>
      <c r="I372" s="25">
        <v>57.13</v>
      </c>
      <c r="J372" s="1">
        <v>69.22</v>
      </c>
      <c r="K372" s="25">
        <v>40</v>
      </c>
      <c r="L372" s="36">
        <v>0.90700000000000003</v>
      </c>
      <c r="M372" s="25">
        <v>70.75</v>
      </c>
      <c r="N372" s="1">
        <v>72.69</v>
      </c>
      <c r="O372" s="25">
        <v>969</v>
      </c>
      <c r="P372" s="36">
        <v>0.58499999999999996</v>
      </c>
      <c r="Q372" s="25">
        <v>71.37</v>
      </c>
      <c r="R372" s="1">
        <v>72.099999999999994</v>
      </c>
      <c r="S372" s="25">
        <v>1162</v>
      </c>
      <c r="T372" s="36">
        <v>0.54</v>
      </c>
      <c r="U372" s="25">
        <v>70.81</v>
      </c>
      <c r="V372" s="1">
        <v>72.400000000000006</v>
      </c>
      <c r="W372" s="25">
        <v>1033</v>
      </c>
      <c r="X372" s="36">
        <v>0.57099999999999995</v>
      </c>
      <c r="Y372" s="25">
        <v>71.09</v>
      </c>
      <c r="Z372" s="1">
        <v>72.36</v>
      </c>
      <c r="AA372" s="25">
        <v>1077</v>
      </c>
      <c r="AB372" s="36">
        <v>0.56000000000000005</v>
      </c>
      <c r="AC372" s="25">
        <v>71.209999999999994</v>
      </c>
      <c r="AD372" s="1">
        <v>72.290000000000006</v>
      </c>
      <c r="AE372" s="25">
        <v>1105</v>
      </c>
      <c r="AF372" s="36">
        <v>0.55300000000000005</v>
      </c>
      <c r="AG372" s="25">
        <v>71.22</v>
      </c>
      <c r="AH372" s="1">
        <v>72.290000000000006</v>
      </c>
      <c r="AI372" s="25">
        <v>1106</v>
      </c>
      <c r="AJ372" s="36">
        <v>0.55300000000000005</v>
      </c>
    </row>
    <row r="373" spans="1:40" x14ac:dyDescent="0.2">
      <c r="A373" s="1"/>
      <c r="B373" s="105"/>
      <c r="C373" s="105"/>
      <c r="D373" s="29">
        <v>21</v>
      </c>
      <c r="E373" s="4">
        <v>70.98</v>
      </c>
      <c r="F373" s="4">
        <v>73.95</v>
      </c>
      <c r="G373" s="1">
        <v>743</v>
      </c>
      <c r="H373" s="33">
        <v>0.628</v>
      </c>
      <c r="I373" s="4">
        <v>64.33</v>
      </c>
      <c r="J373" s="4">
        <v>50.55</v>
      </c>
      <c r="K373" s="1">
        <v>3038</v>
      </c>
      <c r="L373" s="8">
        <v>0.23499999999999999</v>
      </c>
      <c r="M373" s="4">
        <v>69.89</v>
      </c>
      <c r="N373" s="4">
        <v>67.87</v>
      </c>
      <c r="O373" s="1">
        <v>1677</v>
      </c>
      <c r="P373" s="8">
        <v>0.45200000000000001</v>
      </c>
      <c r="Q373" s="4">
        <v>69.989999999999995</v>
      </c>
      <c r="R373" s="4">
        <v>74.260000000000005</v>
      </c>
      <c r="S373" s="1">
        <v>489</v>
      </c>
      <c r="T373" s="8">
        <v>0.69099999999999995</v>
      </c>
      <c r="U373" s="4">
        <v>71.040000000000006</v>
      </c>
      <c r="V373" s="4">
        <v>74.099999999999994</v>
      </c>
      <c r="W373" s="1">
        <v>719</v>
      </c>
      <c r="X373" s="8">
        <v>0.63200000000000001</v>
      </c>
      <c r="Y373" s="4">
        <v>71.05</v>
      </c>
      <c r="Z373" s="4">
        <v>74.08</v>
      </c>
      <c r="AA373" s="1">
        <v>725</v>
      </c>
      <c r="AB373" s="8">
        <v>0.63100000000000001</v>
      </c>
      <c r="AC373" s="4">
        <v>70.97</v>
      </c>
      <c r="AD373" s="4">
        <v>73.89</v>
      </c>
      <c r="AE373" s="1">
        <v>754</v>
      </c>
      <c r="AF373" s="8">
        <v>0.626</v>
      </c>
      <c r="AG373" s="4">
        <v>70.97</v>
      </c>
      <c r="AH373" s="4">
        <v>73.94</v>
      </c>
      <c r="AI373" s="1">
        <v>742</v>
      </c>
      <c r="AJ373" s="8">
        <v>0.628</v>
      </c>
    </row>
    <row r="374" spans="1:40" x14ac:dyDescent="0.2">
      <c r="A374" s="1"/>
      <c r="B374" s="105"/>
      <c r="C374" s="105"/>
      <c r="D374" s="29">
        <v>47</v>
      </c>
      <c r="E374" s="4">
        <v>68.349999999999994</v>
      </c>
      <c r="F374" s="4">
        <v>73.86</v>
      </c>
      <c r="G374" s="1">
        <v>390</v>
      </c>
      <c r="H374" s="8">
        <v>0.72499999999999998</v>
      </c>
      <c r="I374" s="4">
        <v>48.78</v>
      </c>
      <c r="J374" s="4">
        <v>65.489999999999995</v>
      </c>
      <c r="K374" s="1">
        <v>0</v>
      </c>
      <c r="L374" s="8">
        <v>0.998</v>
      </c>
      <c r="M374" s="4">
        <v>70.36</v>
      </c>
      <c r="N374" s="4">
        <v>67.400000000000006</v>
      </c>
      <c r="O374" s="1">
        <v>1797</v>
      </c>
      <c r="P374" s="8">
        <v>0.42299999999999999</v>
      </c>
      <c r="Q374" s="4">
        <v>69.05</v>
      </c>
      <c r="R374" s="4">
        <v>73.89</v>
      </c>
      <c r="S374" s="1">
        <v>482</v>
      </c>
      <c r="T374" s="8">
        <v>0.69899999999999995</v>
      </c>
      <c r="U374" s="4">
        <v>68.19</v>
      </c>
      <c r="V374" s="4">
        <v>73.83</v>
      </c>
      <c r="W374" s="1">
        <v>374</v>
      </c>
      <c r="X374" s="8">
        <v>0.72899999999999998</v>
      </c>
      <c r="Y374" s="4">
        <v>68.27</v>
      </c>
      <c r="Z374" s="4">
        <v>73.849999999999994</v>
      </c>
      <c r="AA374" s="1">
        <v>380</v>
      </c>
      <c r="AB374" s="8">
        <v>0.73699999999999999</v>
      </c>
      <c r="AC374" s="4">
        <v>68.33</v>
      </c>
      <c r="AD374" s="4">
        <v>73.83</v>
      </c>
      <c r="AE374" s="1">
        <v>394</v>
      </c>
      <c r="AF374" s="8">
        <v>0.72399999999999998</v>
      </c>
      <c r="AG374" s="4">
        <v>68.33</v>
      </c>
      <c r="AH374" s="4">
        <v>73.849999999999994</v>
      </c>
      <c r="AI374" s="1">
        <v>389</v>
      </c>
      <c r="AJ374" s="8">
        <v>0.72499999999999998</v>
      </c>
    </row>
    <row r="375" spans="1:40" x14ac:dyDescent="0.2">
      <c r="A375" s="1"/>
      <c r="B375" s="105"/>
      <c r="C375" s="105"/>
      <c r="D375" s="29">
        <v>50</v>
      </c>
      <c r="E375" s="4">
        <v>68.02</v>
      </c>
      <c r="F375" s="4">
        <v>73.69</v>
      </c>
      <c r="G375" s="1">
        <v>382</v>
      </c>
      <c r="H375" s="33">
        <v>0.73</v>
      </c>
      <c r="I375" s="4">
        <v>56.93</v>
      </c>
      <c r="J375" s="4">
        <v>69.11</v>
      </c>
      <c r="K375" s="1">
        <v>44</v>
      </c>
      <c r="L375" s="8">
        <v>0.90800000000000003</v>
      </c>
      <c r="M375" s="4">
        <v>70.56</v>
      </c>
      <c r="N375" s="4">
        <v>72.459999999999994</v>
      </c>
      <c r="O375" s="1">
        <v>989</v>
      </c>
      <c r="P375" s="8">
        <v>0.58299999999999996</v>
      </c>
      <c r="Q375" s="4">
        <v>67.86</v>
      </c>
      <c r="R375" s="4">
        <v>73.64</v>
      </c>
      <c r="S375" s="1">
        <v>372</v>
      </c>
      <c r="T375" s="8">
        <v>0.73299999999999998</v>
      </c>
      <c r="U375" s="4">
        <v>67.849999999999994</v>
      </c>
      <c r="V375" s="4">
        <v>73.680000000000007</v>
      </c>
      <c r="W375" s="1">
        <v>361</v>
      </c>
      <c r="X375" s="8">
        <v>0.73499999999999999</v>
      </c>
      <c r="Y375" s="4">
        <v>68.069999999999993</v>
      </c>
      <c r="Z375" s="4">
        <v>73.67</v>
      </c>
      <c r="AA375" s="1">
        <v>394</v>
      </c>
      <c r="AB375" s="8">
        <v>0.72699999999999998</v>
      </c>
      <c r="AC375" s="4">
        <v>68.02</v>
      </c>
      <c r="AD375" s="4">
        <v>73.7</v>
      </c>
      <c r="AE375" s="1">
        <v>380</v>
      </c>
      <c r="AF375" s="8">
        <v>0.72899999999999998</v>
      </c>
      <c r="AG375" s="4">
        <v>68.02</v>
      </c>
      <c r="AH375" s="4">
        <v>73.69</v>
      </c>
      <c r="AI375" s="1">
        <v>382</v>
      </c>
      <c r="AJ375" s="8">
        <v>0.72899999999999998</v>
      </c>
    </row>
    <row r="376" spans="1:40" x14ac:dyDescent="0.2">
      <c r="A376" s="1"/>
      <c r="B376" s="105"/>
      <c r="C376" s="105"/>
      <c r="D376" s="30">
        <v>91</v>
      </c>
      <c r="E376" s="27">
        <v>69.290000000000006</v>
      </c>
      <c r="F376" s="27">
        <v>73.47</v>
      </c>
      <c r="G376" s="26">
        <v>609</v>
      </c>
      <c r="H376" s="32">
        <v>0.67100000000000004</v>
      </c>
      <c r="I376" s="27">
        <v>53.42</v>
      </c>
      <c r="J376" s="27">
        <v>8.81</v>
      </c>
      <c r="K376" s="26">
        <v>4636</v>
      </c>
      <c r="L376" s="32">
        <v>2.5000000000000001E-2</v>
      </c>
      <c r="M376" s="27">
        <v>70.819999999999993</v>
      </c>
      <c r="N376" s="27">
        <v>71.180000000000007</v>
      </c>
      <c r="O376" s="26">
        <v>1257</v>
      </c>
      <c r="P376" s="32">
        <v>0.52700000000000002</v>
      </c>
      <c r="Q376" s="27">
        <v>69.849999999999994</v>
      </c>
      <c r="R376" s="27">
        <v>73.53</v>
      </c>
      <c r="S376" s="26">
        <v>674</v>
      </c>
      <c r="T376" s="32">
        <v>0.65300000000000002</v>
      </c>
      <c r="U376" s="27">
        <v>69.400000000000006</v>
      </c>
      <c r="V376" s="27">
        <v>73.48</v>
      </c>
      <c r="W376" s="26">
        <v>608</v>
      </c>
      <c r="X376" s="32">
        <v>0.67200000000000004</v>
      </c>
      <c r="Y376" s="27">
        <v>69.34</v>
      </c>
      <c r="Z376" s="27">
        <v>73.459999999999994</v>
      </c>
      <c r="AA376" s="26">
        <v>617</v>
      </c>
      <c r="AB376" s="32">
        <v>0.66900000000000004</v>
      </c>
      <c r="AC376" s="27">
        <v>69.3</v>
      </c>
      <c r="AD376" s="27">
        <v>73.48</v>
      </c>
      <c r="AE376" s="26">
        <v>608</v>
      </c>
      <c r="AF376" s="32">
        <v>0.67200000000000004</v>
      </c>
      <c r="AG376" s="27">
        <v>69.28</v>
      </c>
      <c r="AH376" s="27">
        <v>73.459999999999994</v>
      </c>
      <c r="AI376" s="26">
        <v>609</v>
      </c>
      <c r="AJ376" s="32">
        <v>0.67200000000000004</v>
      </c>
    </row>
    <row r="377" spans="1:40" x14ac:dyDescent="0.2">
      <c r="A377" s="1"/>
      <c r="B377" s="106"/>
      <c r="C377" s="106"/>
      <c r="D377" s="6" t="s">
        <v>8</v>
      </c>
      <c r="E377" s="7">
        <f>AVERAGE(E372:E376)</f>
        <v>69.572000000000003</v>
      </c>
      <c r="F377" s="7">
        <f>AVERAGE(F372:F376)</f>
        <v>73.451999999999998</v>
      </c>
      <c r="G377" s="35">
        <f t="shared" ref="G377:H377" si="97">AVERAGE(G372:G376)</f>
        <v>646</v>
      </c>
      <c r="H377" s="34">
        <f t="shared" si="97"/>
        <v>0.6614000000000001</v>
      </c>
      <c r="I377" s="7">
        <f t="shared" ref="I377:AJ377" si="98">AVERAGE(I372:I376)</f>
        <v>56.118000000000009</v>
      </c>
      <c r="J377" s="7">
        <f t="shared" si="98"/>
        <v>52.636000000000003</v>
      </c>
      <c r="K377" s="35">
        <f t="shared" si="98"/>
        <v>1551.6</v>
      </c>
      <c r="L377" s="34">
        <f t="shared" si="98"/>
        <v>0.61459999999999992</v>
      </c>
      <c r="M377" s="7">
        <f t="shared" si="98"/>
        <v>70.475999999999999</v>
      </c>
      <c r="N377" s="7">
        <f t="shared" si="98"/>
        <v>70.320000000000007</v>
      </c>
      <c r="O377" s="35">
        <f t="shared" si="98"/>
        <v>1337.8</v>
      </c>
      <c r="P377" s="34">
        <f t="shared" si="98"/>
        <v>0.51400000000000001</v>
      </c>
      <c r="Q377" s="7">
        <f t="shared" si="98"/>
        <v>69.623999999999995</v>
      </c>
      <c r="R377" s="7">
        <f t="shared" si="98"/>
        <v>73.483999999999995</v>
      </c>
      <c r="S377" s="35">
        <f t="shared" si="98"/>
        <v>635.79999999999995</v>
      </c>
      <c r="T377" s="34">
        <f t="shared" si="98"/>
        <v>0.66320000000000001</v>
      </c>
      <c r="U377" s="7">
        <f t="shared" si="98"/>
        <v>69.457999999999998</v>
      </c>
      <c r="V377" s="7">
        <f t="shared" si="98"/>
        <v>73.498000000000005</v>
      </c>
      <c r="W377" s="35">
        <f t="shared" si="98"/>
        <v>619</v>
      </c>
      <c r="X377" s="34">
        <f t="shared" si="98"/>
        <v>0.66779999999999995</v>
      </c>
      <c r="Y377" s="7">
        <f t="shared" si="98"/>
        <v>69.563999999999993</v>
      </c>
      <c r="Z377" s="7">
        <f t="shared" si="98"/>
        <v>73.483999999999995</v>
      </c>
      <c r="AA377" s="35">
        <f t="shared" si="98"/>
        <v>638.6</v>
      </c>
      <c r="AB377" s="34">
        <f t="shared" si="98"/>
        <v>0.66479999999999995</v>
      </c>
      <c r="AC377" s="7">
        <f t="shared" si="98"/>
        <v>69.566000000000003</v>
      </c>
      <c r="AD377" s="7">
        <f t="shared" si="98"/>
        <v>73.438000000000002</v>
      </c>
      <c r="AE377" s="35">
        <f t="shared" si="98"/>
        <v>648.20000000000005</v>
      </c>
      <c r="AF377" s="34">
        <f t="shared" si="98"/>
        <v>0.66080000000000005</v>
      </c>
      <c r="AG377" s="7">
        <f t="shared" si="98"/>
        <v>69.563999999999993</v>
      </c>
      <c r="AH377" s="7">
        <f t="shared" si="98"/>
        <v>73.445999999999998</v>
      </c>
      <c r="AI377" s="35">
        <f t="shared" si="98"/>
        <v>645.6</v>
      </c>
      <c r="AJ377" s="34">
        <f t="shared" si="98"/>
        <v>0.6614000000000001</v>
      </c>
      <c r="AM377" s="1">
        <f>(E377-Q377)*100/E377</f>
        <v>-7.4742712585512128E-2</v>
      </c>
      <c r="AN377" s="1">
        <f>(E377-U377)*100/E377</f>
        <v>0.16385902374519104</v>
      </c>
    </row>
    <row r="378" spans="1:40" x14ac:dyDescent="0.2">
      <c r="A378" s="1"/>
      <c r="B378" s="102">
        <v>1</v>
      </c>
      <c r="C378" s="104">
        <v>16</v>
      </c>
      <c r="D378" s="28">
        <v>13</v>
      </c>
      <c r="E378" s="25">
        <v>75.239999999999995</v>
      </c>
      <c r="F378" s="1">
        <v>75.06</v>
      </c>
      <c r="G378" s="25">
        <v>1136</v>
      </c>
      <c r="H378" s="31">
        <v>0.50700000000000001</v>
      </c>
      <c r="I378" s="25">
        <v>48.61</v>
      </c>
      <c r="J378" s="1">
        <v>65.42</v>
      </c>
      <c r="K378" s="25">
        <v>0</v>
      </c>
      <c r="L378" s="36">
        <v>1</v>
      </c>
      <c r="M378" s="25">
        <v>70.56</v>
      </c>
      <c r="N378" s="1">
        <v>75.59</v>
      </c>
      <c r="O378" s="25">
        <v>303</v>
      </c>
      <c r="P378" s="36">
        <v>0.71989999999999998</v>
      </c>
      <c r="Q378" s="25">
        <v>73.33</v>
      </c>
      <c r="R378" s="1">
        <v>75.95</v>
      </c>
      <c r="S378" s="25">
        <v>649</v>
      </c>
      <c r="T378" s="36">
        <v>0.623</v>
      </c>
      <c r="U378" s="25">
        <v>75.23</v>
      </c>
      <c r="V378" s="1">
        <v>74.92</v>
      </c>
      <c r="W378" s="25">
        <v>1161</v>
      </c>
      <c r="X378" s="36">
        <v>0.50160000000000005</v>
      </c>
      <c r="Y378" s="25">
        <v>75.27</v>
      </c>
      <c r="Z378" s="1">
        <v>74.87</v>
      </c>
      <c r="AA378" s="25">
        <v>1178</v>
      </c>
      <c r="AB378" s="36">
        <v>0.49780000000000002</v>
      </c>
      <c r="AC378" s="25">
        <v>75.22</v>
      </c>
      <c r="AD378" s="1">
        <v>75.069999999999993</v>
      </c>
      <c r="AE378" s="25">
        <v>1131</v>
      </c>
      <c r="AF378" s="36">
        <v>0.50770000000000004</v>
      </c>
      <c r="AG378" s="25">
        <v>75.239999999999995</v>
      </c>
      <c r="AH378" s="1">
        <v>75.06</v>
      </c>
      <c r="AI378" s="25">
        <v>1136</v>
      </c>
      <c r="AJ378" s="36">
        <v>0.50649999999999995</v>
      </c>
    </row>
    <row r="379" spans="1:40" x14ac:dyDescent="0.2">
      <c r="A379" s="1"/>
      <c r="B379" s="103"/>
      <c r="C379" s="105"/>
      <c r="D379" s="29">
        <v>21</v>
      </c>
      <c r="E379" s="4">
        <v>75.33</v>
      </c>
      <c r="F379" s="4">
        <v>75.650000000000006</v>
      </c>
      <c r="G379" s="1">
        <v>1029</v>
      </c>
      <c r="H379" s="8">
        <v>0.52700000000000002</v>
      </c>
      <c r="I379" s="4">
        <v>51.39</v>
      </c>
      <c r="J379" s="4"/>
      <c r="K379" s="1">
        <v>4861</v>
      </c>
      <c r="L379" s="8">
        <v>0</v>
      </c>
      <c r="M379" s="4">
        <v>54.17</v>
      </c>
      <c r="N379" s="4">
        <v>12.12</v>
      </c>
      <c r="O379" s="1">
        <v>4545</v>
      </c>
      <c r="P379" s="8">
        <v>3.5000000000000003E-2</v>
      </c>
      <c r="Q379" s="4">
        <v>74.150000000000006</v>
      </c>
      <c r="R379" s="4">
        <v>76.17</v>
      </c>
      <c r="S379" s="1">
        <v>730</v>
      </c>
      <c r="T379" s="8">
        <v>0.59860000000000002</v>
      </c>
      <c r="U379" s="4">
        <v>75.13</v>
      </c>
      <c r="V379" s="4">
        <v>76.33</v>
      </c>
      <c r="W379" s="1">
        <v>852</v>
      </c>
      <c r="X379" s="8">
        <v>0.56440000000000001</v>
      </c>
      <c r="Y379" s="4">
        <v>75.319999999999993</v>
      </c>
      <c r="Z379" s="4">
        <v>75.58</v>
      </c>
      <c r="AA379" s="1">
        <v>1041</v>
      </c>
      <c r="AB379" s="8">
        <v>0.52470000000000006</v>
      </c>
      <c r="AC379" s="4">
        <v>75.319999999999993</v>
      </c>
      <c r="AD379" s="4">
        <v>75.62</v>
      </c>
      <c r="AE379" s="1">
        <v>1033</v>
      </c>
      <c r="AF379" s="8">
        <v>0.52629999999999999</v>
      </c>
      <c r="AG379" s="4">
        <v>75.33</v>
      </c>
      <c r="AH379" s="4">
        <v>75.650000000000006</v>
      </c>
      <c r="AI379" s="1">
        <v>1028</v>
      </c>
      <c r="AJ379" s="8">
        <v>0.5272</v>
      </c>
    </row>
    <row r="380" spans="1:40" x14ac:dyDescent="0.2">
      <c r="A380" s="1"/>
      <c r="B380" s="103"/>
      <c r="C380" s="105"/>
      <c r="D380" s="29">
        <v>47</v>
      </c>
      <c r="E380" s="4">
        <v>74.95</v>
      </c>
      <c r="F380" s="4">
        <v>75.31</v>
      </c>
      <c r="G380" s="1">
        <v>1041</v>
      </c>
      <c r="H380" s="8">
        <v>0.52800000000000002</v>
      </c>
      <c r="I380" s="4">
        <v>51.39</v>
      </c>
      <c r="J380" s="4"/>
      <c r="K380" s="1">
        <v>4861</v>
      </c>
      <c r="L380" s="8">
        <v>0</v>
      </c>
      <c r="M380" s="4">
        <v>74.53</v>
      </c>
      <c r="N380" s="4">
        <v>74.709999999999994</v>
      </c>
      <c r="O380" s="1">
        <v>1099</v>
      </c>
      <c r="P380" s="8">
        <v>0.52100000000000002</v>
      </c>
      <c r="Q380" s="4">
        <v>74.959999999999994</v>
      </c>
      <c r="R380" s="4">
        <v>74.59</v>
      </c>
      <c r="S380" s="1">
        <v>1185</v>
      </c>
      <c r="T380" s="8">
        <v>0.4995</v>
      </c>
      <c r="U380" s="4">
        <v>75.010000000000005</v>
      </c>
      <c r="V380" s="4">
        <v>74.88</v>
      </c>
      <c r="W380" s="1">
        <v>1137</v>
      </c>
      <c r="X380" s="8">
        <v>0.50860000000000005</v>
      </c>
      <c r="Y380" s="4">
        <v>74.900000000000006</v>
      </c>
      <c r="Z380" s="4">
        <v>75.319999999999993</v>
      </c>
      <c r="AA380" s="1">
        <v>1030</v>
      </c>
      <c r="AB380" s="8">
        <v>0.53110000000000002</v>
      </c>
      <c r="AC380" s="4">
        <v>74.959999999999994</v>
      </c>
      <c r="AD380" s="4">
        <v>75.319999999999993</v>
      </c>
      <c r="AE380" s="1">
        <v>1041</v>
      </c>
      <c r="AF380" s="8">
        <v>0.52829999999999999</v>
      </c>
      <c r="AG380" s="4">
        <v>74.94</v>
      </c>
      <c r="AH380" s="4">
        <v>75.3</v>
      </c>
      <c r="AI380" s="1">
        <v>1041</v>
      </c>
      <c r="AJ380" s="8">
        <v>0.52849999999999997</v>
      </c>
    </row>
    <row r="381" spans="1:40" x14ac:dyDescent="0.2">
      <c r="A381" s="1"/>
      <c r="B381" s="103"/>
      <c r="C381" s="105"/>
      <c r="D381" s="29">
        <v>50</v>
      </c>
      <c r="E381" s="4">
        <v>75.12</v>
      </c>
      <c r="F381" s="4">
        <v>74.900000000000006</v>
      </c>
      <c r="G381" s="1">
        <v>1148</v>
      </c>
      <c r="H381" s="8">
        <v>0.505</v>
      </c>
      <c r="I381" s="4">
        <v>63.38</v>
      </c>
      <c r="J381" s="4">
        <v>71.819999999999993</v>
      </c>
      <c r="K381" s="1">
        <v>195</v>
      </c>
      <c r="L381" s="8">
        <v>0.81330000000000002</v>
      </c>
      <c r="M381" s="4">
        <v>69.95</v>
      </c>
      <c r="N381" s="4">
        <v>60.67</v>
      </c>
      <c r="O381" s="1">
        <v>2543</v>
      </c>
      <c r="P381" s="8">
        <v>0.27800000000000002</v>
      </c>
      <c r="Q381" s="4">
        <v>74.930000000000007</v>
      </c>
      <c r="R381" s="4">
        <v>75.59</v>
      </c>
      <c r="S381" s="1">
        <v>980</v>
      </c>
      <c r="T381" s="8">
        <v>0.54079999999999995</v>
      </c>
      <c r="U381" s="4">
        <v>75.099999999999994</v>
      </c>
      <c r="V381" s="4">
        <v>74.48</v>
      </c>
      <c r="W381" s="1">
        <v>1227</v>
      </c>
      <c r="X381" s="8">
        <v>0.48970000000000002</v>
      </c>
      <c r="Y381" s="4">
        <v>75.09</v>
      </c>
      <c r="Z381" s="4">
        <v>74.94</v>
      </c>
      <c r="AA381" s="1">
        <v>1137</v>
      </c>
      <c r="AB381" s="8">
        <v>0.50780000000000003</v>
      </c>
      <c r="AC381" s="4">
        <v>75.14</v>
      </c>
      <c r="AD381" s="4">
        <v>74.91</v>
      </c>
      <c r="AE381" s="1">
        <v>1149</v>
      </c>
      <c r="AF381" s="8">
        <v>0.50490000000000002</v>
      </c>
      <c r="AG381" s="4">
        <v>75.12</v>
      </c>
      <c r="AH381" s="4">
        <v>74.900000000000006</v>
      </c>
      <c r="AI381" s="1">
        <v>1149</v>
      </c>
      <c r="AJ381" s="8">
        <v>0.50509999999999999</v>
      </c>
    </row>
    <row r="382" spans="1:40" x14ac:dyDescent="0.2">
      <c r="A382" s="1"/>
      <c r="B382" s="103"/>
      <c r="C382" s="105"/>
      <c r="D382" s="30">
        <v>91</v>
      </c>
      <c r="E382" s="27">
        <v>72.7</v>
      </c>
      <c r="F382" s="27">
        <v>73.099999999999994</v>
      </c>
      <c r="G382" s="26">
        <v>1151</v>
      </c>
      <c r="H382" s="32">
        <v>0.52900000000000003</v>
      </c>
      <c r="I382" s="27">
        <v>63.93</v>
      </c>
      <c r="J382" s="27">
        <v>71.5</v>
      </c>
      <c r="K382" s="26">
        <v>337</v>
      </c>
      <c r="L382" s="32">
        <v>0.77939999999999998</v>
      </c>
      <c r="M382" s="27">
        <v>72.67</v>
      </c>
      <c r="N382" s="27">
        <v>72.959999999999994</v>
      </c>
      <c r="O382" s="26">
        <v>1174</v>
      </c>
      <c r="P382" s="32">
        <v>0.52459999999999996</v>
      </c>
      <c r="Q382" s="27">
        <v>71.91</v>
      </c>
      <c r="R382" s="27">
        <v>73.94</v>
      </c>
      <c r="S382" s="26">
        <v>876</v>
      </c>
      <c r="T382" s="32">
        <v>0.59179999999999999</v>
      </c>
      <c r="U382" s="27">
        <v>72.75</v>
      </c>
      <c r="V382" s="27">
        <v>73.069999999999993</v>
      </c>
      <c r="W382" s="26">
        <v>1165</v>
      </c>
      <c r="X382" s="32">
        <v>0.52559999999999996</v>
      </c>
      <c r="Y382" s="27">
        <v>72.650000000000006</v>
      </c>
      <c r="Z382" s="27">
        <v>73.06</v>
      </c>
      <c r="AA382" s="26">
        <v>1152</v>
      </c>
      <c r="AB382" s="32">
        <v>0.5292</v>
      </c>
      <c r="AC382" s="27">
        <v>72.7</v>
      </c>
      <c r="AD382" s="27">
        <v>73.099999999999994</v>
      </c>
      <c r="AE382" s="26">
        <v>1152</v>
      </c>
      <c r="AF382" s="32">
        <v>0.52869999999999995</v>
      </c>
      <c r="AG382" s="27">
        <v>72.69</v>
      </c>
      <c r="AH382" s="27">
        <v>73.099999999999994</v>
      </c>
      <c r="AI382" s="26">
        <v>1151</v>
      </c>
      <c r="AJ382" s="32">
        <v>0.52900000000000003</v>
      </c>
    </row>
    <row r="383" spans="1:40" x14ac:dyDescent="0.2">
      <c r="A383" s="1"/>
      <c r="B383" s="101"/>
      <c r="C383" s="105"/>
      <c r="D383" s="6" t="s">
        <v>8</v>
      </c>
      <c r="E383" s="7">
        <f>AVERAGE(E378:E382)</f>
        <v>74.667999999999992</v>
      </c>
      <c r="F383" s="7">
        <f>AVERAGE(F378:F382)</f>
        <v>74.804000000000002</v>
      </c>
      <c r="G383" s="35">
        <f t="shared" ref="G383:H383" si="99">AVERAGE(G378:G382)</f>
        <v>1101</v>
      </c>
      <c r="H383" s="34">
        <f t="shared" si="99"/>
        <v>0.51919999999999999</v>
      </c>
      <c r="I383" s="7">
        <f t="shared" ref="I383:AJ383" si="100">AVERAGE(I378:I382)</f>
        <v>55.739999999999995</v>
      </c>
      <c r="J383" s="7">
        <f t="shared" si="100"/>
        <v>69.58</v>
      </c>
      <c r="K383" s="35">
        <f t="shared" si="100"/>
        <v>2050.8000000000002</v>
      </c>
      <c r="L383" s="34">
        <f t="shared" si="100"/>
        <v>0.51854</v>
      </c>
      <c r="M383" s="7">
        <f t="shared" si="100"/>
        <v>68.376000000000005</v>
      </c>
      <c r="N383" s="7">
        <f t="shared" si="100"/>
        <v>59.21</v>
      </c>
      <c r="O383" s="35">
        <f t="shared" si="100"/>
        <v>1932.8</v>
      </c>
      <c r="P383" s="34">
        <f t="shared" si="100"/>
        <v>0.41570000000000001</v>
      </c>
      <c r="Q383" s="7">
        <f t="shared" si="100"/>
        <v>73.855999999999995</v>
      </c>
      <c r="R383" s="7">
        <f t="shared" si="100"/>
        <v>75.248000000000005</v>
      </c>
      <c r="S383" s="35">
        <f t="shared" si="100"/>
        <v>884</v>
      </c>
      <c r="T383" s="34">
        <f t="shared" si="100"/>
        <v>0.57074000000000003</v>
      </c>
      <c r="U383" s="7">
        <f t="shared" si="100"/>
        <v>74.644000000000005</v>
      </c>
      <c r="V383" s="7">
        <f t="shared" si="100"/>
        <v>74.736000000000004</v>
      </c>
      <c r="W383" s="35">
        <f t="shared" si="100"/>
        <v>1108.4000000000001</v>
      </c>
      <c r="X383" s="34">
        <f t="shared" si="100"/>
        <v>0.51798</v>
      </c>
      <c r="Y383" s="7">
        <f t="shared" si="100"/>
        <v>74.646000000000001</v>
      </c>
      <c r="Z383" s="7">
        <f t="shared" si="100"/>
        <v>74.753999999999991</v>
      </c>
      <c r="AA383" s="35">
        <f t="shared" si="100"/>
        <v>1107.5999999999999</v>
      </c>
      <c r="AB383" s="34">
        <f t="shared" si="100"/>
        <v>0.51811999999999991</v>
      </c>
      <c r="AC383" s="7">
        <f t="shared" si="100"/>
        <v>74.667999999999992</v>
      </c>
      <c r="AD383" s="7">
        <f t="shared" si="100"/>
        <v>74.804000000000002</v>
      </c>
      <c r="AE383" s="35">
        <f t="shared" si="100"/>
        <v>1101.2</v>
      </c>
      <c r="AF383" s="34">
        <f t="shared" si="100"/>
        <v>0.51918000000000009</v>
      </c>
      <c r="AG383" s="7">
        <f t="shared" si="100"/>
        <v>74.664000000000001</v>
      </c>
      <c r="AH383" s="7">
        <f t="shared" si="100"/>
        <v>74.801999999999992</v>
      </c>
      <c r="AI383" s="35">
        <f t="shared" si="100"/>
        <v>1101</v>
      </c>
      <c r="AJ383" s="34">
        <f t="shared" si="100"/>
        <v>0.51925999999999994</v>
      </c>
      <c r="AM383" s="1">
        <f>(E383-Q383)*100/E383</f>
        <v>1.087480580703913</v>
      </c>
      <c r="AN383" s="1">
        <f>(E383-U383)*100/E383</f>
        <v>3.2142283173496947E-2</v>
      </c>
    </row>
    <row r="384" spans="1:40" x14ac:dyDescent="0.2">
      <c r="A384" s="1"/>
      <c r="B384" s="104">
        <v>1.2</v>
      </c>
      <c r="C384" s="105"/>
      <c r="D384" s="28">
        <v>13</v>
      </c>
      <c r="E384" s="25">
        <v>75.319999999999993</v>
      </c>
      <c r="F384" s="25">
        <v>74.78</v>
      </c>
      <c r="G384" s="25">
        <v>1202</v>
      </c>
      <c r="H384" s="31">
        <v>0.49299999999999999</v>
      </c>
      <c r="I384" s="25">
        <v>48.61</v>
      </c>
      <c r="J384" s="1">
        <v>65.42</v>
      </c>
      <c r="K384" s="25">
        <v>0</v>
      </c>
      <c r="L384" s="36">
        <v>1</v>
      </c>
      <c r="M384" s="25">
        <v>72.78</v>
      </c>
      <c r="N384" s="1">
        <v>68.459999999999994</v>
      </c>
      <c r="O384" s="25">
        <v>1907</v>
      </c>
      <c r="P384" s="36">
        <v>0.37690000000000001</v>
      </c>
      <c r="Q384" s="25">
        <v>74.42</v>
      </c>
      <c r="R384" s="1">
        <v>72.03</v>
      </c>
      <c r="S384" s="25">
        <v>1567</v>
      </c>
      <c r="T384" s="36">
        <v>0.42849999999999999</v>
      </c>
      <c r="U384" s="25">
        <v>74.95</v>
      </c>
      <c r="V384" s="1">
        <v>75.28</v>
      </c>
      <c r="W384" s="25">
        <v>1047</v>
      </c>
      <c r="X384" s="36">
        <v>0.5272</v>
      </c>
      <c r="Y384" s="25">
        <v>75.349999999999994</v>
      </c>
      <c r="Z384" s="1">
        <v>74.819999999999993</v>
      </c>
      <c r="AA384" s="25">
        <v>1198</v>
      </c>
      <c r="AB384" s="36">
        <v>0.49299999999999999</v>
      </c>
      <c r="AC384" s="25">
        <v>75.34</v>
      </c>
      <c r="AD384" s="1">
        <v>74.8</v>
      </c>
      <c r="AE384" s="25">
        <v>1202</v>
      </c>
      <c r="AF384" s="36">
        <v>0.49230000000000002</v>
      </c>
      <c r="AG384" s="25">
        <v>75.34</v>
      </c>
      <c r="AH384" s="1">
        <v>74.81</v>
      </c>
      <c r="AI384" s="25">
        <v>1199</v>
      </c>
      <c r="AJ384" s="36">
        <v>0.4929</v>
      </c>
    </row>
    <row r="385" spans="1:40" x14ac:dyDescent="0.2">
      <c r="A385" s="1"/>
      <c r="B385" s="105"/>
      <c r="C385" s="105"/>
      <c r="D385" s="29">
        <v>21</v>
      </c>
      <c r="E385" s="4">
        <v>75.27</v>
      </c>
      <c r="F385" s="4">
        <v>74.44</v>
      </c>
      <c r="G385" s="1">
        <v>1259</v>
      </c>
      <c r="H385" s="8">
        <v>0.48199999999999998</v>
      </c>
      <c r="I385" s="4">
        <v>48.61</v>
      </c>
      <c r="J385" s="4">
        <v>65.42</v>
      </c>
      <c r="K385" s="1">
        <v>0</v>
      </c>
      <c r="L385" s="8">
        <v>1</v>
      </c>
      <c r="M385" s="4">
        <v>60.73</v>
      </c>
      <c r="N385" s="4">
        <v>37.04</v>
      </c>
      <c r="O385" s="1">
        <v>3706</v>
      </c>
      <c r="P385" s="8">
        <v>0.1376</v>
      </c>
      <c r="Q385" s="4">
        <v>75.31</v>
      </c>
      <c r="R385" s="4">
        <v>74.27</v>
      </c>
      <c r="S385" s="1">
        <v>1297</v>
      </c>
      <c r="T385" s="8">
        <v>0.47360000000000002</v>
      </c>
      <c r="U385" s="4">
        <v>75.23</v>
      </c>
      <c r="V385" s="4">
        <v>74.459999999999994</v>
      </c>
      <c r="W385" s="1">
        <v>1250</v>
      </c>
      <c r="X385" s="8">
        <v>0.48380000000000001</v>
      </c>
      <c r="Y385" s="4">
        <v>75.27</v>
      </c>
      <c r="Z385" s="4">
        <v>74.48</v>
      </c>
      <c r="AA385" s="1">
        <v>1252</v>
      </c>
      <c r="AB385" s="8">
        <v>0.48299999999999998</v>
      </c>
      <c r="AC385" s="4">
        <v>75.260000000000005</v>
      </c>
      <c r="AD385" s="4">
        <v>74.44</v>
      </c>
      <c r="AE385" s="1">
        <v>1258</v>
      </c>
      <c r="AF385" s="8">
        <v>0.4819</v>
      </c>
      <c r="AG385" s="4">
        <v>75.290000000000006</v>
      </c>
      <c r="AH385" s="4">
        <v>74.48</v>
      </c>
      <c r="AI385" s="1">
        <v>1255</v>
      </c>
      <c r="AJ385" s="8">
        <v>0.48220000000000002</v>
      </c>
    </row>
    <row r="386" spans="1:40" x14ac:dyDescent="0.2">
      <c r="A386" s="1"/>
      <c r="B386" s="105"/>
      <c r="C386" s="105"/>
      <c r="D386" s="29">
        <v>47</v>
      </c>
      <c r="E386" s="4">
        <v>74.819999999999993</v>
      </c>
      <c r="F386" s="4">
        <v>74.08</v>
      </c>
      <c r="G386" s="1">
        <v>1263</v>
      </c>
      <c r="H386" s="8">
        <v>0.48499999999999999</v>
      </c>
      <c r="I386" s="4">
        <v>66.77</v>
      </c>
      <c r="J386" s="4">
        <v>71.680000000000007</v>
      </c>
      <c r="K386" s="1">
        <v>655</v>
      </c>
      <c r="L386" s="8">
        <v>0.68740000000000001</v>
      </c>
      <c r="M386" s="4">
        <v>57.14</v>
      </c>
      <c r="N386" s="4">
        <v>69.28</v>
      </c>
      <c r="O386" s="1">
        <v>28</v>
      </c>
      <c r="P386" s="8">
        <v>0.90910000000000002</v>
      </c>
      <c r="Q386" s="4">
        <v>74.7</v>
      </c>
      <c r="R386" s="4">
        <v>74.64</v>
      </c>
      <c r="S386" s="1">
        <v>1137</v>
      </c>
      <c r="T386" s="8">
        <v>0.51170000000000004</v>
      </c>
      <c r="U386" s="4">
        <v>74.86</v>
      </c>
      <c r="V386" s="4">
        <v>74.2</v>
      </c>
      <c r="W386" s="1">
        <v>1246</v>
      </c>
      <c r="X386" s="8">
        <v>0.48830000000000001</v>
      </c>
      <c r="Y386" s="4">
        <v>74.900000000000006</v>
      </c>
      <c r="Z386" s="4">
        <v>74.290000000000006</v>
      </c>
      <c r="AA386" s="1">
        <v>1235</v>
      </c>
      <c r="AB386" s="8">
        <v>0.49009999999999998</v>
      </c>
      <c r="AC386" s="4">
        <v>74.81</v>
      </c>
      <c r="AD386" s="4">
        <v>74.09</v>
      </c>
      <c r="AE386" s="1">
        <v>1259</v>
      </c>
      <c r="AF386" s="8">
        <v>0.48620000000000002</v>
      </c>
      <c r="AG386" s="4">
        <v>74.790000000000006</v>
      </c>
      <c r="AH386" s="4">
        <v>74.06</v>
      </c>
      <c r="AI386" s="1">
        <v>1263</v>
      </c>
      <c r="AJ386" s="8">
        <v>0.48559999999999998</v>
      </c>
    </row>
    <row r="387" spans="1:40" x14ac:dyDescent="0.2">
      <c r="A387" s="1"/>
      <c r="B387" s="105"/>
      <c r="C387" s="105"/>
      <c r="D387" s="29">
        <v>50</v>
      </c>
      <c r="E387" s="4">
        <v>74.430000000000007</v>
      </c>
      <c r="F387" s="4">
        <v>76.02</v>
      </c>
      <c r="G387" s="1">
        <v>807</v>
      </c>
      <c r="H387" s="33">
        <v>0.57999999999999996</v>
      </c>
      <c r="I387" s="4">
        <v>48.61</v>
      </c>
      <c r="J387" s="4">
        <v>65.42</v>
      </c>
      <c r="K387" s="1">
        <v>0</v>
      </c>
      <c r="L387" s="8">
        <v>1</v>
      </c>
      <c r="M387" s="4">
        <v>74.290000000000006</v>
      </c>
      <c r="N387" s="4">
        <v>75.89</v>
      </c>
      <c r="O387" s="1">
        <v>815</v>
      </c>
      <c r="P387" s="8">
        <v>0.58020000000000005</v>
      </c>
      <c r="Q387" s="4">
        <v>74.61</v>
      </c>
      <c r="R387" s="4">
        <v>75.95</v>
      </c>
      <c r="S387" s="1">
        <v>853</v>
      </c>
      <c r="T387" s="8">
        <v>0.56940000000000002</v>
      </c>
      <c r="U387" s="4">
        <v>74.09</v>
      </c>
      <c r="V387" s="4">
        <v>76.13</v>
      </c>
      <c r="W387" s="1">
        <v>730</v>
      </c>
      <c r="X387" s="8">
        <v>0.59919999999999995</v>
      </c>
      <c r="Y387" s="4">
        <v>74.430000000000007</v>
      </c>
      <c r="Z387" s="4">
        <v>76.03</v>
      </c>
      <c r="AA387" s="1">
        <v>806</v>
      </c>
      <c r="AB387" s="8">
        <v>0.5806</v>
      </c>
      <c r="AC387" s="4">
        <v>74.39</v>
      </c>
      <c r="AD387" s="4">
        <v>76</v>
      </c>
      <c r="AE387" s="1">
        <v>807</v>
      </c>
      <c r="AF387" s="8">
        <v>0.58079999999999998</v>
      </c>
      <c r="AG387" s="4">
        <v>74.44</v>
      </c>
      <c r="AH387" s="4">
        <v>76.03</v>
      </c>
      <c r="AI387" s="1">
        <v>807</v>
      </c>
      <c r="AJ387" s="8">
        <v>0.58030000000000004</v>
      </c>
    </row>
    <row r="388" spans="1:40" x14ac:dyDescent="0.2">
      <c r="A388" s="1"/>
      <c r="B388" s="105"/>
      <c r="C388" s="105"/>
      <c r="D388" s="30">
        <v>91</v>
      </c>
      <c r="E388" s="27">
        <v>74.75</v>
      </c>
      <c r="F388" s="27">
        <v>75.790000000000006</v>
      </c>
      <c r="G388" s="26">
        <v>908</v>
      </c>
      <c r="H388" s="32">
        <v>0.55700000000000005</v>
      </c>
      <c r="I388" s="27">
        <v>49.1</v>
      </c>
      <c r="J388" s="27">
        <v>65.64</v>
      </c>
      <c r="K388" s="26">
        <v>0</v>
      </c>
      <c r="L388" s="32">
        <v>0.99509999999999998</v>
      </c>
      <c r="M388" s="27">
        <v>55.01</v>
      </c>
      <c r="N388" s="27">
        <v>68.3</v>
      </c>
      <c r="O388" s="26">
        <v>14</v>
      </c>
      <c r="P388" s="32">
        <v>0.93320000000000003</v>
      </c>
      <c r="Q388" s="27">
        <v>74.680000000000007</v>
      </c>
      <c r="R388" s="27">
        <v>75.41</v>
      </c>
      <c r="S388" s="26">
        <v>979</v>
      </c>
      <c r="T388" s="32">
        <v>0.54349999999999998</v>
      </c>
      <c r="U388" s="27">
        <v>74.62</v>
      </c>
      <c r="V388" s="27">
        <v>75.97</v>
      </c>
      <c r="W388" s="26">
        <v>849</v>
      </c>
      <c r="X388" s="32">
        <v>0.57010000000000005</v>
      </c>
      <c r="Y388" s="27">
        <v>74.75</v>
      </c>
      <c r="Z388" s="27">
        <v>75.78</v>
      </c>
      <c r="AA388" s="26">
        <v>911</v>
      </c>
      <c r="AB388" s="32">
        <v>0.55640000000000001</v>
      </c>
      <c r="AC388" s="27">
        <v>74.709999999999994</v>
      </c>
      <c r="AD388" s="27">
        <v>75.790000000000006</v>
      </c>
      <c r="AE388" s="26">
        <v>902</v>
      </c>
      <c r="AF388" s="32">
        <v>0.55859999999999999</v>
      </c>
      <c r="AG388" s="27">
        <v>74.739999999999995</v>
      </c>
      <c r="AH388" s="27">
        <v>75.790000000000006</v>
      </c>
      <c r="AI388" s="26">
        <v>907</v>
      </c>
      <c r="AJ388" s="32">
        <v>0.55730000000000002</v>
      </c>
    </row>
    <row r="389" spans="1:40" x14ac:dyDescent="0.2">
      <c r="A389" s="1"/>
      <c r="B389" s="106"/>
      <c r="C389" s="105"/>
      <c r="D389" s="6" t="s">
        <v>8</v>
      </c>
      <c r="E389" s="7">
        <f>AVERAGE(E384:E388)</f>
        <v>74.917999999999992</v>
      </c>
      <c r="F389" s="7">
        <f>AVERAGE(F384:F388)</f>
        <v>75.022000000000006</v>
      </c>
      <c r="G389" s="35">
        <f t="shared" ref="G389:H389" si="101">AVERAGE(G384:G388)</f>
        <v>1087.8</v>
      </c>
      <c r="H389" s="34">
        <f t="shared" si="101"/>
        <v>0.51939999999999997</v>
      </c>
      <c r="I389" s="7">
        <f t="shared" ref="I389:AJ389" si="102">AVERAGE(I384:I388)</f>
        <v>52.340000000000011</v>
      </c>
      <c r="J389" s="7">
        <f t="shared" si="102"/>
        <v>66.715999999999994</v>
      </c>
      <c r="K389" s="35">
        <f t="shared" si="102"/>
        <v>131</v>
      </c>
      <c r="L389" s="34">
        <f t="shared" si="102"/>
        <v>0.9365</v>
      </c>
      <c r="M389" s="7">
        <f t="shared" si="102"/>
        <v>63.989999999999995</v>
      </c>
      <c r="N389" s="7">
        <f t="shared" si="102"/>
        <v>63.794000000000004</v>
      </c>
      <c r="O389" s="35">
        <f t="shared" si="102"/>
        <v>1294</v>
      </c>
      <c r="P389" s="34">
        <f t="shared" si="102"/>
        <v>0.58740000000000003</v>
      </c>
      <c r="Q389" s="7">
        <f t="shared" si="102"/>
        <v>74.744</v>
      </c>
      <c r="R389" s="7">
        <f t="shared" si="102"/>
        <v>74.459999999999994</v>
      </c>
      <c r="S389" s="35">
        <f t="shared" si="102"/>
        <v>1166.5999999999999</v>
      </c>
      <c r="T389" s="34">
        <f t="shared" si="102"/>
        <v>0.50534000000000001</v>
      </c>
      <c r="U389" s="7">
        <f t="shared" si="102"/>
        <v>74.75</v>
      </c>
      <c r="V389" s="7">
        <f t="shared" si="102"/>
        <v>75.207999999999998</v>
      </c>
      <c r="W389" s="35">
        <f t="shared" si="102"/>
        <v>1024.4000000000001</v>
      </c>
      <c r="X389" s="34">
        <f t="shared" si="102"/>
        <v>0.53371999999999997</v>
      </c>
      <c r="Y389" s="7">
        <f t="shared" si="102"/>
        <v>74.940000000000012</v>
      </c>
      <c r="Z389" s="7">
        <f t="shared" si="102"/>
        <v>75.08</v>
      </c>
      <c r="AA389" s="35">
        <f t="shared" si="102"/>
        <v>1080.4000000000001</v>
      </c>
      <c r="AB389" s="34">
        <f t="shared" si="102"/>
        <v>0.52061999999999997</v>
      </c>
      <c r="AC389" s="7">
        <f t="shared" si="102"/>
        <v>74.902000000000001</v>
      </c>
      <c r="AD389" s="7">
        <f t="shared" si="102"/>
        <v>75.024000000000015</v>
      </c>
      <c r="AE389" s="35">
        <f t="shared" si="102"/>
        <v>1085.5999999999999</v>
      </c>
      <c r="AF389" s="34">
        <f t="shared" si="102"/>
        <v>0.51995999999999998</v>
      </c>
      <c r="AG389" s="7">
        <f t="shared" si="102"/>
        <v>74.92</v>
      </c>
      <c r="AH389" s="7">
        <f t="shared" si="102"/>
        <v>75.034000000000006</v>
      </c>
      <c r="AI389" s="35">
        <f t="shared" si="102"/>
        <v>1086.2</v>
      </c>
      <c r="AJ389" s="34">
        <f t="shared" si="102"/>
        <v>0.51966000000000012</v>
      </c>
      <c r="AM389" s="1">
        <f>(E389-Q389)*100/E389</f>
        <v>0.23225393096451108</v>
      </c>
      <c r="AN389" s="1">
        <f>(E389-U389)*100/E389</f>
        <v>0.22424517472435485</v>
      </c>
    </row>
    <row r="390" spans="1:40" x14ac:dyDescent="0.2">
      <c r="A390" s="1"/>
      <c r="B390" s="104">
        <v>1.4</v>
      </c>
      <c r="C390" s="105"/>
      <c r="D390" s="28">
        <v>13</v>
      </c>
      <c r="E390" s="25">
        <v>72.239999999999995</v>
      </c>
      <c r="F390" s="25">
        <v>75.959999999999994</v>
      </c>
      <c r="G390" s="25">
        <v>476</v>
      </c>
      <c r="H390" s="31">
        <v>0.66900000000000004</v>
      </c>
      <c r="I390" s="25">
        <v>48.61</v>
      </c>
      <c r="J390" s="1">
        <v>65.42</v>
      </c>
      <c r="K390" s="25">
        <v>0</v>
      </c>
      <c r="L390" s="36">
        <v>1</v>
      </c>
      <c r="M390" s="25">
        <v>68.900000000000006</v>
      </c>
      <c r="N390" s="1">
        <v>74.709999999999994</v>
      </c>
      <c r="O390" s="25">
        <v>268</v>
      </c>
      <c r="P390" s="36">
        <v>0.74350000000000005</v>
      </c>
      <c r="Q390" s="25">
        <v>74.97</v>
      </c>
      <c r="R390" s="1">
        <v>75.94</v>
      </c>
      <c r="S390" s="25">
        <v>910</v>
      </c>
      <c r="T390" s="36">
        <v>0.5544</v>
      </c>
      <c r="U390" s="25">
        <v>72.62</v>
      </c>
      <c r="V390" s="1">
        <v>76.069999999999993</v>
      </c>
      <c r="W390" s="25">
        <v>508</v>
      </c>
      <c r="X390" s="36">
        <v>0.6583</v>
      </c>
      <c r="Y390" s="25">
        <v>72.36</v>
      </c>
      <c r="Z390" s="1">
        <v>76.02</v>
      </c>
      <c r="AA390" s="25">
        <v>479</v>
      </c>
      <c r="AB390" s="36">
        <v>0.66669999999999996</v>
      </c>
      <c r="AC390" s="25">
        <v>72.23</v>
      </c>
      <c r="AD390" s="1">
        <v>75.959999999999994</v>
      </c>
      <c r="AE390" s="25">
        <v>474</v>
      </c>
      <c r="AF390" s="36">
        <v>0.66900000000000004</v>
      </c>
      <c r="AG390" s="25">
        <v>72.25</v>
      </c>
      <c r="AH390" s="1">
        <v>75.97</v>
      </c>
      <c r="AI390" s="25">
        <v>475</v>
      </c>
      <c r="AJ390" s="36">
        <v>0.66859999999999997</v>
      </c>
    </row>
    <row r="391" spans="1:40" x14ac:dyDescent="0.2">
      <c r="A391" s="1"/>
      <c r="B391" s="105"/>
      <c r="C391" s="105"/>
      <c r="D391" s="29">
        <v>21</v>
      </c>
      <c r="E391" s="4">
        <v>71.61</v>
      </c>
      <c r="F391" s="4">
        <v>75.87</v>
      </c>
      <c r="G391" s="1">
        <v>398</v>
      </c>
      <c r="H391" s="8">
        <v>0.69</v>
      </c>
      <c r="I391" s="4">
        <v>49.42</v>
      </c>
      <c r="J391" s="4">
        <v>65.78</v>
      </c>
      <c r="K391" s="1">
        <v>0</v>
      </c>
      <c r="L391" s="8">
        <v>0.9919</v>
      </c>
      <c r="M391" s="4">
        <v>72.349999999999994</v>
      </c>
      <c r="N391" s="4">
        <v>76.16</v>
      </c>
      <c r="O391" s="1">
        <v>445</v>
      </c>
      <c r="P391" s="8">
        <v>0.67359999999999998</v>
      </c>
      <c r="Q391" s="4">
        <v>72.16</v>
      </c>
      <c r="R391" s="4">
        <v>76.12</v>
      </c>
      <c r="S391" s="1">
        <v>423</v>
      </c>
      <c r="T391" s="8">
        <v>0.67989999999999995</v>
      </c>
      <c r="U391" s="4">
        <v>71.83</v>
      </c>
      <c r="V391" s="4">
        <v>75.959999999999994</v>
      </c>
      <c r="W391" s="1">
        <v>411</v>
      </c>
      <c r="X391" s="8">
        <v>0.68559999999999999</v>
      </c>
      <c r="Y391" s="4">
        <v>71.78</v>
      </c>
      <c r="Z391" s="4">
        <v>75.959999999999994</v>
      </c>
      <c r="AA391" s="1">
        <v>402</v>
      </c>
      <c r="AB391" s="8">
        <v>0.68789999999999996</v>
      </c>
      <c r="AC391" s="4">
        <v>71.63</v>
      </c>
      <c r="AD391" s="4">
        <v>75.89</v>
      </c>
      <c r="AE391" s="1">
        <v>397</v>
      </c>
      <c r="AF391" s="8">
        <v>0.69040000000000001</v>
      </c>
      <c r="AG391" s="4">
        <v>71.599999999999994</v>
      </c>
      <c r="AH391" s="4">
        <v>75.87</v>
      </c>
      <c r="AI391" s="1">
        <v>397</v>
      </c>
      <c r="AJ391" s="8">
        <v>0.69069999999999998</v>
      </c>
    </row>
    <row r="392" spans="1:40" x14ac:dyDescent="0.2">
      <c r="A392" s="1"/>
      <c r="B392" s="105"/>
      <c r="C392" s="105"/>
      <c r="D392" s="29">
        <v>47</v>
      </c>
      <c r="E392" s="4">
        <v>70.819999999999993</v>
      </c>
      <c r="F392" s="4">
        <v>75.569999999999993</v>
      </c>
      <c r="G392" s="1">
        <v>348</v>
      </c>
      <c r="H392" s="8">
        <v>0.70799999999999996</v>
      </c>
      <c r="I392" s="4">
        <v>71.680000000000007</v>
      </c>
      <c r="J392" s="4">
        <v>75.89</v>
      </c>
      <c r="K392" s="1">
        <v>403</v>
      </c>
      <c r="L392" s="8">
        <v>0.68869999999999998</v>
      </c>
      <c r="M392" s="4">
        <v>54.39</v>
      </c>
      <c r="N392" s="4">
        <v>68.02</v>
      </c>
      <c r="O392" s="1">
        <v>11</v>
      </c>
      <c r="P392" s="8">
        <v>0.94</v>
      </c>
      <c r="Q392" s="4">
        <v>69.2</v>
      </c>
      <c r="R392" s="4">
        <v>74.97</v>
      </c>
      <c r="S392" s="1">
        <v>248</v>
      </c>
      <c r="T392" s="8">
        <v>0.74450000000000005</v>
      </c>
      <c r="U392" s="4">
        <v>70.290000000000006</v>
      </c>
      <c r="V392" s="4">
        <v>75.39</v>
      </c>
      <c r="W392" s="1">
        <v>311</v>
      </c>
      <c r="X392" s="8">
        <v>0.72099999999999997</v>
      </c>
      <c r="Y392" s="4">
        <v>70.89</v>
      </c>
      <c r="Z392" s="4">
        <v>75.56</v>
      </c>
      <c r="AA392" s="1">
        <v>361</v>
      </c>
      <c r="AB392" s="8">
        <v>0.70499999999999996</v>
      </c>
      <c r="AC392" s="4">
        <v>70.75</v>
      </c>
      <c r="AD392" s="4">
        <v>75.540000000000006</v>
      </c>
      <c r="AE392" s="1">
        <v>345</v>
      </c>
      <c r="AF392" s="8">
        <v>0.70960000000000001</v>
      </c>
      <c r="AG392" s="4">
        <v>70.819999999999993</v>
      </c>
      <c r="AH392" s="4">
        <v>75.569999999999993</v>
      </c>
      <c r="AI392" s="1">
        <v>347</v>
      </c>
      <c r="AJ392" s="8">
        <v>0.70850000000000002</v>
      </c>
    </row>
    <row r="393" spans="1:40" x14ac:dyDescent="0.2">
      <c r="A393" s="1"/>
      <c r="B393" s="105"/>
      <c r="C393" s="105"/>
      <c r="D393" s="29">
        <v>50</v>
      </c>
      <c r="E393" s="4">
        <v>69.66</v>
      </c>
      <c r="F393" s="4">
        <v>75.099999999999994</v>
      </c>
      <c r="G393" s="1">
        <v>286</v>
      </c>
      <c r="H393" s="8">
        <v>0.73199999999999998</v>
      </c>
      <c r="I393" s="4">
        <v>48.61</v>
      </c>
      <c r="J393" s="4">
        <v>65.42</v>
      </c>
      <c r="K393" s="1">
        <v>0</v>
      </c>
      <c r="L393" s="8">
        <v>1</v>
      </c>
      <c r="M393" s="4">
        <v>66.849999999999994</v>
      </c>
      <c r="N393" s="4">
        <v>73.930000000000007</v>
      </c>
      <c r="O393" s="1">
        <v>161</v>
      </c>
      <c r="P393" s="8">
        <v>0.78539999999999999</v>
      </c>
      <c r="Q393" s="4">
        <v>69.819999999999993</v>
      </c>
      <c r="R393" s="4">
        <v>75.150000000000006</v>
      </c>
      <c r="S393" s="1">
        <v>297</v>
      </c>
      <c r="T393" s="8">
        <v>0.72850000000000004</v>
      </c>
      <c r="U393" s="4">
        <v>69.03</v>
      </c>
      <c r="V393" s="4">
        <v>74.88</v>
      </c>
      <c r="W393" s="1">
        <v>244</v>
      </c>
      <c r="X393" s="8">
        <v>0.747</v>
      </c>
      <c r="Y393" s="4">
        <v>69.59</v>
      </c>
      <c r="Z393" s="4">
        <v>75.06</v>
      </c>
      <c r="AA393" s="1">
        <v>285</v>
      </c>
      <c r="AB393" s="8">
        <v>0.73319999999999996</v>
      </c>
      <c r="AC393" s="4">
        <v>69.69</v>
      </c>
      <c r="AD393" s="4">
        <v>75.11</v>
      </c>
      <c r="AE393" s="1">
        <v>287</v>
      </c>
      <c r="AF393" s="8">
        <v>0.73180000000000001</v>
      </c>
      <c r="AG393" s="4">
        <v>69.680000000000007</v>
      </c>
      <c r="AH393" s="4">
        <v>75.11</v>
      </c>
      <c r="AI393" s="1">
        <v>287</v>
      </c>
      <c r="AJ393" s="8">
        <v>0.7319</v>
      </c>
    </row>
    <row r="394" spans="1:40" x14ac:dyDescent="0.2">
      <c r="A394" s="1"/>
      <c r="B394" s="105"/>
      <c r="C394" s="105"/>
      <c r="D394" s="30">
        <v>91</v>
      </c>
      <c r="E394" s="27">
        <v>71.349999999999994</v>
      </c>
      <c r="F394" s="27">
        <v>75.739999999999995</v>
      </c>
      <c r="G394" s="26">
        <v>389</v>
      </c>
      <c r="H394" s="32">
        <v>0.69499999999999995</v>
      </c>
      <c r="I394" s="27">
        <v>56.25</v>
      </c>
      <c r="J394" s="27">
        <v>68.89</v>
      </c>
      <c r="K394" s="26">
        <v>16</v>
      </c>
      <c r="L394" s="32">
        <v>0.9204</v>
      </c>
      <c r="M394" s="27">
        <v>72.760000000000005</v>
      </c>
      <c r="N394" s="27">
        <v>76.239999999999995</v>
      </c>
      <c r="O394" s="26">
        <v>490</v>
      </c>
      <c r="P394" s="32">
        <v>0.66049999999999998</v>
      </c>
      <c r="Q394" s="27">
        <v>75.010000000000005</v>
      </c>
      <c r="R394" s="27">
        <v>76.349999999999994</v>
      </c>
      <c r="S394" s="26">
        <v>827</v>
      </c>
      <c r="T394" s="32">
        <v>0.5706</v>
      </c>
      <c r="U394" s="27">
        <v>72.02</v>
      </c>
      <c r="V394" s="27">
        <v>75.95</v>
      </c>
      <c r="W394" s="26">
        <v>443</v>
      </c>
      <c r="X394" s="32">
        <v>0.67730000000000001</v>
      </c>
      <c r="Y394" s="27">
        <v>71.66</v>
      </c>
      <c r="Z394" s="27">
        <v>75.86</v>
      </c>
      <c r="AA394" s="26">
        <v>408</v>
      </c>
      <c r="AB394" s="32">
        <v>0.68789999999999996</v>
      </c>
      <c r="AC394" s="27">
        <v>71.34</v>
      </c>
      <c r="AD394" s="27">
        <v>75.73</v>
      </c>
      <c r="AE394" s="26">
        <v>389</v>
      </c>
      <c r="AF394" s="32">
        <v>0.69489999999999996</v>
      </c>
      <c r="AG394" s="27">
        <v>71.33</v>
      </c>
      <c r="AH394" s="27">
        <v>75.73</v>
      </c>
      <c r="AI394" s="26">
        <v>389</v>
      </c>
      <c r="AJ394" s="32">
        <v>0.69499999999999995</v>
      </c>
    </row>
    <row r="395" spans="1:40" x14ac:dyDescent="0.2">
      <c r="A395" s="1"/>
      <c r="B395" s="106"/>
      <c r="C395" s="106"/>
      <c r="D395" s="6" t="s">
        <v>8</v>
      </c>
      <c r="E395" s="7">
        <f>AVERAGE(E390:E394)</f>
        <v>71.135999999999996</v>
      </c>
      <c r="F395" s="7">
        <f>AVERAGE(F390:F394)</f>
        <v>75.647999999999996</v>
      </c>
      <c r="G395" s="35">
        <f t="shared" ref="G395:H395" si="103">AVERAGE(G390:G394)</f>
        <v>379.4</v>
      </c>
      <c r="H395" s="34">
        <f t="shared" si="103"/>
        <v>0.69880000000000009</v>
      </c>
      <c r="I395" s="7">
        <f t="shared" ref="I395:AJ395" si="104">AVERAGE(I390:I394)</f>
        <v>54.914000000000001</v>
      </c>
      <c r="J395" s="7">
        <f t="shared" si="104"/>
        <v>68.28</v>
      </c>
      <c r="K395" s="35">
        <f t="shared" si="104"/>
        <v>83.8</v>
      </c>
      <c r="L395" s="34">
        <f t="shared" si="104"/>
        <v>0.92020000000000002</v>
      </c>
      <c r="M395" s="7">
        <f t="shared" si="104"/>
        <v>67.05</v>
      </c>
      <c r="N395" s="7">
        <f t="shared" si="104"/>
        <v>73.811999999999998</v>
      </c>
      <c r="O395" s="35">
        <f t="shared" si="104"/>
        <v>275</v>
      </c>
      <c r="P395" s="34">
        <f t="shared" si="104"/>
        <v>0.76059999999999994</v>
      </c>
      <c r="Q395" s="7">
        <f t="shared" si="104"/>
        <v>72.231999999999999</v>
      </c>
      <c r="R395" s="7">
        <f t="shared" si="104"/>
        <v>75.705999999999989</v>
      </c>
      <c r="S395" s="35">
        <f t="shared" si="104"/>
        <v>541</v>
      </c>
      <c r="T395" s="34">
        <f t="shared" si="104"/>
        <v>0.65557999999999994</v>
      </c>
      <c r="U395" s="7">
        <f t="shared" si="104"/>
        <v>71.157999999999987</v>
      </c>
      <c r="V395" s="7">
        <f t="shared" si="104"/>
        <v>75.649999999999991</v>
      </c>
      <c r="W395" s="35">
        <f t="shared" si="104"/>
        <v>383.4</v>
      </c>
      <c r="X395" s="34">
        <f t="shared" si="104"/>
        <v>0.69784000000000002</v>
      </c>
      <c r="Y395" s="7">
        <f t="shared" si="104"/>
        <v>71.256</v>
      </c>
      <c r="Z395" s="7">
        <f t="shared" si="104"/>
        <v>75.692000000000007</v>
      </c>
      <c r="AA395" s="35">
        <f t="shared" si="104"/>
        <v>387</v>
      </c>
      <c r="AB395" s="34">
        <f t="shared" si="104"/>
        <v>0.69613999999999998</v>
      </c>
      <c r="AC395" s="7">
        <f t="shared" si="104"/>
        <v>71.128</v>
      </c>
      <c r="AD395" s="7">
        <f t="shared" si="104"/>
        <v>75.646000000000001</v>
      </c>
      <c r="AE395" s="35">
        <f t="shared" si="104"/>
        <v>378.4</v>
      </c>
      <c r="AF395" s="34">
        <f t="shared" si="104"/>
        <v>0.69913999999999998</v>
      </c>
      <c r="AG395" s="7">
        <f t="shared" si="104"/>
        <v>71.135999999999996</v>
      </c>
      <c r="AH395" s="7">
        <f t="shared" si="104"/>
        <v>75.650000000000006</v>
      </c>
      <c r="AI395" s="35">
        <f t="shared" si="104"/>
        <v>379</v>
      </c>
      <c r="AJ395" s="34">
        <f t="shared" si="104"/>
        <v>0.69894000000000001</v>
      </c>
      <c r="AM395" s="1">
        <f>(E395-Q395)*100/E395</f>
        <v>-1.5407107512370721</v>
      </c>
      <c r="AN395" s="1">
        <f>(E395-U395)*100/E395</f>
        <v>-3.0926675663505626E-2</v>
      </c>
    </row>
    <row r="396" spans="1:40" x14ac:dyDescent="0.2">
      <c r="A396" s="1"/>
      <c r="B396" s="1"/>
      <c r="C396" s="1"/>
      <c r="D396" s="61"/>
      <c r="E396" s="62"/>
      <c r="F396" s="62"/>
      <c r="G396" s="63"/>
      <c r="H396" s="6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40" x14ac:dyDescent="0.2">
      <c r="A397" s="1"/>
      <c r="B397" s="1"/>
      <c r="C397" s="1"/>
      <c r="D397" s="61"/>
      <c r="E397" s="62"/>
      <c r="F397" s="62"/>
      <c r="G397" s="63"/>
      <c r="H397" s="6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40" x14ac:dyDescent="0.2">
      <c r="A398" s="1"/>
      <c r="B398" s="1"/>
      <c r="C398" s="1"/>
      <c r="D398" s="61"/>
      <c r="E398" s="62"/>
      <c r="F398" s="62"/>
      <c r="G398" s="63"/>
      <c r="H398" s="6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40" x14ac:dyDescent="0.2">
      <c r="A399" s="1"/>
      <c r="B399" s="1"/>
      <c r="C399" s="1"/>
      <c r="D399" s="61"/>
      <c r="E399" s="62"/>
      <c r="F399" s="62"/>
      <c r="G399" s="63"/>
      <c r="H399" s="6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40" x14ac:dyDescent="0.2">
      <c r="A400" s="1"/>
      <c r="B400" s="100" t="s">
        <v>23</v>
      </c>
      <c r="C400" s="107" t="s">
        <v>15</v>
      </c>
      <c r="D400" s="108"/>
      <c r="E400" s="108"/>
      <c r="F400" s="108"/>
      <c r="G400" s="108"/>
      <c r="H400" s="111"/>
      <c r="I400" s="103" t="s">
        <v>30</v>
      </c>
      <c r="J400" s="123"/>
      <c r="K400" s="123"/>
      <c r="L400" s="123"/>
      <c r="M400" s="103" t="s">
        <v>31</v>
      </c>
      <c r="N400" s="123"/>
      <c r="O400" s="123"/>
      <c r="P400" s="123"/>
      <c r="Q400" s="103" t="s">
        <v>32</v>
      </c>
      <c r="R400" s="123"/>
      <c r="S400" s="123"/>
      <c r="T400" s="123"/>
      <c r="U400" s="103" t="s">
        <v>33</v>
      </c>
      <c r="V400" s="123"/>
      <c r="W400" s="123"/>
      <c r="X400" s="123"/>
      <c r="Y400" s="103" t="s">
        <v>34</v>
      </c>
      <c r="Z400" s="123"/>
      <c r="AA400" s="123"/>
      <c r="AB400" s="123"/>
      <c r="AC400" s="103" t="s">
        <v>35</v>
      </c>
      <c r="AD400" s="123"/>
      <c r="AE400" s="123"/>
      <c r="AF400" s="123"/>
      <c r="AG400" s="103" t="s">
        <v>36</v>
      </c>
      <c r="AH400" s="123"/>
      <c r="AI400" s="123"/>
      <c r="AJ400" s="123"/>
    </row>
    <row r="401" spans="1:40" x14ac:dyDescent="0.2">
      <c r="A401" s="1"/>
      <c r="B401" s="101"/>
      <c r="C401" s="19" t="s">
        <v>3</v>
      </c>
      <c r="D401" s="1" t="s">
        <v>4</v>
      </c>
      <c r="E401" s="1" t="s">
        <v>6</v>
      </c>
      <c r="F401" s="2" t="s">
        <v>7</v>
      </c>
      <c r="G401" s="1" t="s">
        <v>24</v>
      </c>
      <c r="H401" s="8" t="s">
        <v>25</v>
      </c>
      <c r="I401" s="1" t="s">
        <v>6</v>
      </c>
      <c r="J401" s="2" t="s">
        <v>7</v>
      </c>
      <c r="K401" s="1" t="s">
        <v>24</v>
      </c>
      <c r="L401" s="8" t="s">
        <v>25</v>
      </c>
      <c r="M401" s="1" t="s">
        <v>6</v>
      </c>
      <c r="N401" s="2" t="s">
        <v>7</v>
      </c>
      <c r="O401" s="1" t="s">
        <v>24</v>
      </c>
      <c r="P401" s="8" t="s">
        <v>25</v>
      </c>
      <c r="Q401" s="1" t="s">
        <v>6</v>
      </c>
      <c r="R401" s="2" t="s">
        <v>7</v>
      </c>
      <c r="S401" s="1" t="s">
        <v>24</v>
      </c>
      <c r="T401" s="8" t="s">
        <v>25</v>
      </c>
      <c r="U401" s="1" t="s">
        <v>6</v>
      </c>
      <c r="V401" s="2" t="s">
        <v>7</v>
      </c>
      <c r="W401" s="1" t="s">
        <v>24</v>
      </c>
      <c r="X401" s="8" t="s">
        <v>25</v>
      </c>
      <c r="Y401" s="1" t="s">
        <v>6</v>
      </c>
      <c r="Z401" s="2" t="s">
        <v>7</v>
      </c>
      <c r="AA401" s="1" t="s">
        <v>24</v>
      </c>
      <c r="AB401" s="8" t="s">
        <v>25</v>
      </c>
      <c r="AC401" s="1" t="s">
        <v>6</v>
      </c>
      <c r="AD401" s="2" t="s">
        <v>7</v>
      </c>
      <c r="AE401" s="1" t="s">
        <v>24</v>
      </c>
      <c r="AF401" s="8" t="s">
        <v>25</v>
      </c>
      <c r="AG401" s="1" t="s">
        <v>6</v>
      </c>
      <c r="AH401" s="2" t="s">
        <v>7</v>
      </c>
      <c r="AI401" s="1" t="s">
        <v>24</v>
      </c>
      <c r="AJ401" s="8" t="s">
        <v>25</v>
      </c>
    </row>
    <row r="402" spans="1:40" x14ac:dyDescent="0.2">
      <c r="A402" s="1"/>
      <c r="B402" s="102">
        <v>1</v>
      </c>
      <c r="C402" s="104">
        <v>8</v>
      </c>
      <c r="D402" s="28">
        <v>13</v>
      </c>
      <c r="E402" s="25">
        <v>72.12</v>
      </c>
      <c r="F402" s="4">
        <v>70.8</v>
      </c>
      <c r="G402" s="25">
        <v>1297</v>
      </c>
      <c r="H402" s="36">
        <v>0.45500000000000002</v>
      </c>
      <c r="I402" s="25">
        <v>58.98</v>
      </c>
      <c r="J402" s="1">
        <v>69.25</v>
      </c>
      <c r="K402" s="25">
        <v>304</v>
      </c>
      <c r="L402" s="36">
        <v>0.83425000000000005</v>
      </c>
      <c r="M402" s="25">
        <v>70.930000000000007</v>
      </c>
      <c r="N402" s="1">
        <v>72.34</v>
      </c>
      <c r="O402" s="25">
        <v>959</v>
      </c>
      <c r="P402" s="36">
        <v>0.55100000000000005</v>
      </c>
      <c r="Q402" s="25">
        <v>70.88</v>
      </c>
      <c r="R402" s="1">
        <v>72.150000000000006</v>
      </c>
      <c r="S402" s="25">
        <v>982</v>
      </c>
      <c r="T402" s="36">
        <v>0.54574999999999996</v>
      </c>
      <c r="U402" s="25">
        <v>72.09</v>
      </c>
      <c r="V402" s="1">
        <v>70.739999999999995</v>
      </c>
      <c r="W402" s="25">
        <v>1301</v>
      </c>
      <c r="X402" s="36">
        <v>0.45387499999999997</v>
      </c>
      <c r="Y402" s="25">
        <v>72.02</v>
      </c>
      <c r="Z402" s="1">
        <v>70.400000000000006</v>
      </c>
      <c r="AA402" s="25">
        <v>1338</v>
      </c>
      <c r="AB402" s="36">
        <v>0.44524999999999998</v>
      </c>
      <c r="AC402" s="25">
        <v>72.09</v>
      </c>
      <c r="AD402" s="1">
        <v>70.75</v>
      </c>
      <c r="AE402" s="25">
        <v>1300</v>
      </c>
      <c r="AF402" s="36">
        <v>0.454125</v>
      </c>
      <c r="AG402" s="25">
        <v>72.11</v>
      </c>
      <c r="AH402" s="1">
        <v>70.790000000000006</v>
      </c>
      <c r="AI402" s="25">
        <v>1296</v>
      </c>
      <c r="AJ402" s="36">
        <v>0.45487499999999997</v>
      </c>
    </row>
    <row r="403" spans="1:40" x14ac:dyDescent="0.2">
      <c r="A403" s="1"/>
      <c r="B403" s="103"/>
      <c r="C403" s="105"/>
      <c r="D403" s="29">
        <v>21</v>
      </c>
      <c r="E403" s="4">
        <v>71.900000000000006</v>
      </c>
      <c r="F403" s="4">
        <v>70.84</v>
      </c>
      <c r="G403" s="1">
        <v>1269</v>
      </c>
      <c r="H403" s="8">
        <v>0.46400000000000002</v>
      </c>
      <c r="I403" s="4">
        <v>50</v>
      </c>
      <c r="J403" s="4">
        <v>66.67</v>
      </c>
      <c r="K403" s="1">
        <v>0</v>
      </c>
      <c r="L403" s="8">
        <v>1</v>
      </c>
      <c r="M403" s="4">
        <v>64.44</v>
      </c>
      <c r="N403" s="4">
        <v>48.78</v>
      </c>
      <c r="O403" s="1">
        <v>2645</v>
      </c>
      <c r="P403" s="8">
        <v>0.19437499999999999</v>
      </c>
      <c r="Q403" s="4">
        <v>71.25</v>
      </c>
      <c r="R403" s="4">
        <v>71.45</v>
      </c>
      <c r="S403" s="1">
        <v>1122</v>
      </c>
      <c r="T403" s="8">
        <v>0.50700000000000001</v>
      </c>
      <c r="U403" s="4">
        <v>71.97</v>
      </c>
      <c r="V403" s="4">
        <v>70.42</v>
      </c>
      <c r="W403" s="1">
        <v>1331</v>
      </c>
      <c r="X403" s="8">
        <v>0.44750000000000001</v>
      </c>
      <c r="Y403" s="4">
        <v>71.92</v>
      </c>
      <c r="Z403" s="4">
        <v>70.819999999999993</v>
      </c>
      <c r="AA403" s="1">
        <v>1275</v>
      </c>
      <c r="AB403" s="8">
        <v>0.46200000000000002</v>
      </c>
      <c r="AC403" s="4">
        <v>71.89</v>
      </c>
      <c r="AD403" s="4">
        <v>70.83</v>
      </c>
      <c r="AE403" s="1">
        <v>1270</v>
      </c>
      <c r="AF403" s="8">
        <v>0.46362500000000001</v>
      </c>
      <c r="AG403" s="4">
        <v>71.900000000000006</v>
      </c>
      <c r="AH403" s="4">
        <v>70.84</v>
      </c>
      <c r="AI403" s="1">
        <v>1269</v>
      </c>
      <c r="AJ403" s="8">
        <v>0.46375</v>
      </c>
    </row>
    <row r="404" spans="1:40" x14ac:dyDescent="0.2">
      <c r="A404" s="1"/>
      <c r="B404" s="103"/>
      <c r="C404" s="105"/>
      <c r="D404" s="29">
        <v>47</v>
      </c>
      <c r="E404" s="4">
        <v>71.58</v>
      </c>
      <c r="F404" s="4">
        <v>70.64</v>
      </c>
      <c r="G404" s="1">
        <v>1264</v>
      </c>
      <c r="H404" s="8">
        <v>0.46800000000000003</v>
      </c>
      <c r="I404" s="4">
        <v>50.2</v>
      </c>
      <c r="J404" s="4">
        <v>0.8</v>
      </c>
      <c r="K404" s="1">
        <v>3984</v>
      </c>
      <c r="L404" s="8">
        <v>2E-3</v>
      </c>
      <c r="M404" s="4">
        <v>66.36</v>
      </c>
      <c r="N404" s="4">
        <v>54.2</v>
      </c>
      <c r="O404" s="1">
        <v>2408</v>
      </c>
      <c r="P404" s="8">
        <v>0.234375</v>
      </c>
      <c r="Q404" s="4">
        <v>71.709999999999994</v>
      </c>
      <c r="R404" s="4">
        <v>70.099999999999994</v>
      </c>
      <c r="S404" s="1">
        <v>1347</v>
      </c>
      <c r="T404" s="8">
        <v>0.44612499999999999</v>
      </c>
      <c r="U404" s="4">
        <v>71.06</v>
      </c>
      <c r="V404" s="4">
        <v>70.88</v>
      </c>
      <c r="W404" s="1">
        <v>1182</v>
      </c>
      <c r="X404" s="8">
        <v>0.49387500000000001</v>
      </c>
      <c r="Y404" s="4">
        <v>71.58</v>
      </c>
      <c r="Z404" s="4">
        <v>70.64</v>
      </c>
      <c r="AA404" s="1">
        <v>1264</v>
      </c>
      <c r="AB404" s="8">
        <v>0.46825</v>
      </c>
      <c r="AC404" s="4">
        <v>71.56</v>
      </c>
      <c r="AD404" s="4">
        <v>70.650000000000006</v>
      </c>
      <c r="AE404" s="1">
        <v>1262</v>
      </c>
      <c r="AF404" s="8">
        <v>0.46887499999999999</v>
      </c>
      <c r="AG404" s="4">
        <v>71.56</v>
      </c>
      <c r="AH404" s="4">
        <v>70.63</v>
      </c>
      <c r="AI404" s="1">
        <v>1265</v>
      </c>
      <c r="AJ404" s="8">
        <v>0.46812500000000001</v>
      </c>
    </row>
    <row r="405" spans="1:40" x14ac:dyDescent="0.2">
      <c r="A405" s="1"/>
      <c r="B405" s="103"/>
      <c r="C405" s="105"/>
      <c r="D405" s="29">
        <v>50</v>
      </c>
      <c r="E405" s="4">
        <v>72.900000000000006</v>
      </c>
      <c r="F405" s="4">
        <v>71.98</v>
      </c>
      <c r="G405" s="1">
        <v>1215</v>
      </c>
      <c r="H405" s="8">
        <v>0.46700000000000003</v>
      </c>
      <c r="I405" s="4">
        <v>50.42</v>
      </c>
      <c r="J405" s="4">
        <v>66.78</v>
      </c>
      <c r="K405" s="1">
        <v>13</v>
      </c>
      <c r="L405" s="8">
        <v>0.99250000000000005</v>
      </c>
      <c r="M405" s="4">
        <v>69</v>
      </c>
      <c r="N405" s="4">
        <v>59.96</v>
      </c>
      <c r="O405" s="1">
        <v>2143</v>
      </c>
      <c r="P405" s="8">
        <v>0.27424999999999999</v>
      </c>
      <c r="Q405" s="4">
        <v>71.7</v>
      </c>
      <c r="R405" s="4">
        <v>73.03</v>
      </c>
      <c r="S405" s="1">
        <v>935</v>
      </c>
      <c r="T405" s="8">
        <v>0.54925000000000002</v>
      </c>
      <c r="U405" s="4">
        <v>72.680000000000007</v>
      </c>
      <c r="V405" s="4">
        <v>72.599999999999994</v>
      </c>
      <c r="W405" s="1">
        <v>1104</v>
      </c>
      <c r="X405" s="8">
        <v>0.49725000000000003</v>
      </c>
      <c r="Y405" s="4">
        <v>72.900000000000006</v>
      </c>
      <c r="Z405" s="4">
        <v>72.099999999999994</v>
      </c>
      <c r="AA405" s="1">
        <v>1198</v>
      </c>
      <c r="AB405" s="8">
        <v>0.47149999999999997</v>
      </c>
      <c r="AC405" s="4">
        <v>72.89</v>
      </c>
      <c r="AD405" s="4">
        <v>71.94</v>
      </c>
      <c r="AE405" s="1">
        <v>1220</v>
      </c>
      <c r="AF405" s="8">
        <v>0.46612500000000001</v>
      </c>
      <c r="AG405" s="4">
        <v>72.91</v>
      </c>
      <c r="AH405" s="4">
        <v>72</v>
      </c>
      <c r="AI405" s="1">
        <v>1214</v>
      </c>
      <c r="AJ405" s="8">
        <v>0.46737499999999998</v>
      </c>
    </row>
    <row r="406" spans="1:40" x14ac:dyDescent="0.2">
      <c r="A406" s="1"/>
      <c r="B406" s="103"/>
      <c r="C406" s="105"/>
      <c r="D406" s="30">
        <v>91</v>
      </c>
      <c r="E406" s="27">
        <v>72.510000000000005</v>
      </c>
      <c r="F406" s="27">
        <v>71.3</v>
      </c>
      <c r="G406" s="26">
        <v>1268</v>
      </c>
      <c r="H406" s="32">
        <v>0.45800000000000002</v>
      </c>
      <c r="I406" s="27">
        <v>50</v>
      </c>
      <c r="J406" s="27">
        <v>66.67</v>
      </c>
      <c r="K406" s="26">
        <v>0</v>
      </c>
      <c r="L406" s="32">
        <v>1</v>
      </c>
      <c r="M406" s="27">
        <v>70.28</v>
      </c>
      <c r="N406" s="27">
        <v>64.349999999999994</v>
      </c>
      <c r="O406" s="26">
        <v>1854</v>
      </c>
      <c r="P406" s="32">
        <v>0.33374999999999999</v>
      </c>
      <c r="Q406" s="27">
        <v>71.78</v>
      </c>
      <c r="R406" s="27">
        <v>71.88</v>
      </c>
      <c r="S406" s="26">
        <v>1114</v>
      </c>
      <c r="T406" s="32">
        <v>0.50375000000000003</v>
      </c>
      <c r="U406" s="27">
        <v>72.489999999999995</v>
      </c>
      <c r="V406" s="27">
        <v>71.260000000000005</v>
      </c>
      <c r="W406" s="26">
        <v>1272</v>
      </c>
      <c r="X406" s="32">
        <v>0.457125</v>
      </c>
      <c r="Y406" s="27">
        <v>72.5</v>
      </c>
      <c r="Z406" s="27">
        <v>71.27</v>
      </c>
      <c r="AA406" s="26">
        <v>1271</v>
      </c>
      <c r="AB406" s="32">
        <v>0.45724999999999999</v>
      </c>
      <c r="AC406" s="27">
        <v>72.5</v>
      </c>
      <c r="AD406" s="27">
        <v>71.28</v>
      </c>
      <c r="AE406" s="26">
        <v>1270</v>
      </c>
      <c r="AF406" s="32">
        <v>0.45750000000000002</v>
      </c>
      <c r="AG406" s="27">
        <v>72.510000000000005</v>
      </c>
      <c r="AH406" s="27">
        <v>71.3</v>
      </c>
      <c r="AI406" s="26">
        <v>1268</v>
      </c>
      <c r="AJ406" s="32">
        <v>0.45787499999999998</v>
      </c>
    </row>
    <row r="407" spans="1:40" x14ac:dyDescent="0.2">
      <c r="A407" s="1"/>
      <c r="B407" s="101"/>
      <c r="C407" s="105"/>
      <c r="D407" s="6" t="s">
        <v>8</v>
      </c>
      <c r="E407" s="7">
        <f t="shared" ref="E407:AJ407" si="105">AVERAGE(E402:E406)</f>
        <v>72.201999999999998</v>
      </c>
      <c r="F407" s="7">
        <f t="shared" si="105"/>
        <v>71.111999999999995</v>
      </c>
      <c r="G407" s="35">
        <f t="shared" si="105"/>
        <v>1262.5999999999999</v>
      </c>
      <c r="H407" s="34">
        <f t="shared" si="105"/>
        <v>0.46240000000000003</v>
      </c>
      <c r="I407" s="7">
        <f t="shared" si="105"/>
        <v>51.92</v>
      </c>
      <c r="J407" s="7">
        <f t="shared" si="105"/>
        <v>54.034000000000006</v>
      </c>
      <c r="K407" s="35">
        <f t="shared" si="105"/>
        <v>860.2</v>
      </c>
      <c r="L407" s="34">
        <f t="shared" si="105"/>
        <v>0.76574999999999993</v>
      </c>
      <c r="M407" s="7">
        <f t="shared" si="105"/>
        <v>68.201999999999998</v>
      </c>
      <c r="N407" s="7">
        <f t="shared" si="105"/>
        <v>59.926000000000002</v>
      </c>
      <c r="O407" s="35">
        <f t="shared" si="105"/>
        <v>2001.8</v>
      </c>
      <c r="P407" s="34">
        <f t="shared" si="105"/>
        <v>0.31755</v>
      </c>
      <c r="Q407" s="7">
        <f t="shared" si="105"/>
        <v>71.463999999999984</v>
      </c>
      <c r="R407" s="7">
        <f t="shared" si="105"/>
        <v>71.722000000000008</v>
      </c>
      <c r="S407" s="35">
        <f t="shared" si="105"/>
        <v>1100</v>
      </c>
      <c r="T407" s="34">
        <f t="shared" si="105"/>
        <v>0.51037500000000002</v>
      </c>
      <c r="U407" s="7">
        <f t="shared" si="105"/>
        <v>72.058000000000007</v>
      </c>
      <c r="V407" s="7">
        <f t="shared" si="105"/>
        <v>71.179999999999993</v>
      </c>
      <c r="W407" s="35">
        <f t="shared" si="105"/>
        <v>1238</v>
      </c>
      <c r="X407" s="34">
        <f t="shared" si="105"/>
        <v>0.46992500000000004</v>
      </c>
      <c r="Y407" s="7">
        <f t="shared" si="105"/>
        <v>72.183999999999997</v>
      </c>
      <c r="Z407" s="7">
        <f t="shared" si="105"/>
        <v>71.046000000000006</v>
      </c>
      <c r="AA407" s="35">
        <f t="shared" si="105"/>
        <v>1269.2</v>
      </c>
      <c r="AB407" s="34">
        <f t="shared" si="105"/>
        <v>0.46085000000000004</v>
      </c>
      <c r="AC407" s="7">
        <f t="shared" si="105"/>
        <v>72.186000000000007</v>
      </c>
      <c r="AD407" s="7">
        <f t="shared" si="105"/>
        <v>71.089999999999989</v>
      </c>
      <c r="AE407" s="35">
        <f t="shared" si="105"/>
        <v>1264.4000000000001</v>
      </c>
      <c r="AF407" s="34">
        <f t="shared" si="105"/>
        <v>0.46204999999999996</v>
      </c>
      <c r="AG407" s="7">
        <f t="shared" si="105"/>
        <v>72.198000000000008</v>
      </c>
      <c r="AH407" s="7">
        <f t="shared" si="105"/>
        <v>71.111999999999995</v>
      </c>
      <c r="AI407" s="35">
        <f t="shared" si="105"/>
        <v>1262.4000000000001</v>
      </c>
      <c r="AJ407" s="34">
        <f t="shared" si="105"/>
        <v>0.46240000000000003</v>
      </c>
      <c r="AM407" s="1">
        <f>(E407-Q407)*100/E407</f>
        <v>1.0221323509044262</v>
      </c>
      <c r="AN407" s="1">
        <f>(E407-U407)*100/E407</f>
        <v>0.19944045871304292</v>
      </c>
    </row>
    <row r="408" spans="1:40" x14ac:dyDescent="0.2">
      <c r="A408" s="1"/>
      <c r="B408" s="104">
        <v>1.2</v>
      </c>
      <c r="C408" s="105"/>
      <c r="D408" s="28">
        <v>13</v>
      </c>
      <c r="E408" s="25">
        <v>71.31</v>
      </c>
      <c r="F408" s="25">
        <v>70.959999999999994</v>
      </c>
      <c r="G408" s="25">
        <v>1186</v>
      </c>
      <c r="H408" s="31">
        <v>0.49099999999999999</v>
      </c>
      <c r="I408" s="25">
        <v>56.51</v>
      </c>
      <c r="J408" s="1">
        <v>24.52</v>
      </c>
      <c r="K408" s="25">
        <v>3435</v>
      </c>
      <c r="L408" s="36">
        <v>7.6124999999999998E-2</v>
      </c>
      <c r="M408" s="25">
        <v>67.180000000000007</v>
      </c>
      <c r="N408" s="1">
        <v>56.07</v>
      </c>
      <c r="O408" s="25">
        <v>2324</v>
      </c>
      <c r="P408" s="36">
        <v>0.24725</v>
      </c>
      <c r="Q408" s="25">
        <v>71.94</v>
      </c>
      <c r="R408" s="1">
        <v>70.89</v>
      </c>
      <c r="S408" s="25">
        <v>1267</v>
      </c>
      <c r="T408" s="36">
        <v>0.46387499999999998</v>
      </c>
      <c r="U408" s="25">
        <v>71</v>
      </c>
      <c r="V408" s="1">
        <v>71.09</v>
      </c>
      <c r="W408" s="25">
        <v>1147</v>
      </c>
      <c r="X408" s="36">
        <v>0.50324999999999998</v>
      </c>
      <c r="Y408" s="25">
        <v>71.47</v>
      </c>
      <c r="Z408" s="1">
        <v>71</v>
      </c>
      <c r="AA408" s="25">
        <v>1207</v>
      </c>
      <c r="AB408" s="36">
        <v>0.48349999999999999</v>
      </c>
      <c r="AC408" s="25">
        <v>71.28</v>
      </c>
      <c r="AD408" s="1">
        <v>70.97</v>
      </c>
      <c r="AE408" s="25">
        <v>1191</v>
      </c>
      <c r="AF408" s="36">
        <v>0.48949999999999999</v>
      </c>
      <c r="AG408" s="25">
        <v>71.2</v>
      </c>
      <c r="AH408" s="1">
        <v>70.95</v>
      </c>
      <c r="AI408" s="25">
        <v>1186</v>
      </c>
      <c r="AJ408" s="36">
        <v>0.49149999999999999</v>
      </c>
    </row>
    <row r="409" spans="1:40" x14ac:dyDescent="0.2">
      <c r="A409" s="1"/>
      <c r="B409" s="105"/>
      <c r="C409" s="105"/>
      <c r="D409" s="29">
        <v>21</v>
      </c>
      <c r="E409" s="4">
        <v>71.81</v>
      </c>
      <c r="F409" s="4">
        <v>71.31</v>
      </c>
      <c r="G409" s="1">
        <v>1197</v>
      </c>
      <c r="H409" s="33">
        <v>0.48299999999999998</v>
      </c>
      <c r="I409" s="4">
        <v>51.22</v>
      </c>
      <c r="J409" s="4">
        <v>66.97</v>
      </c>
      <c r="K409" s="1">
        <v>44</v>
      </c>
      <c r="L409" s="8">
        <v>0.97675000000000001</v>
      </c>
      <c r="M409" s="4">
        <v>60.38</v>
      </c>
      <c r="N409" s="4">
        <v>70.02</v>
      </c>
      <c r="O409" s="1">
        <v>298</v>
      </c>
      <c r="P409" s="8">
        <v>0.82174999999999998</v>
      </c>
      <c r="Q409" s="4">
        <v>71.95</v>
      </c>
      <c r="R409" s="4">
        <v>70.95</v>
      </c>
      <c r="S409" s="1">
        <v>1260</v>
      </c>
      <c r="T409" s="8">
        <v>0.46550000000000002</v>
      </c>
      <c r="U409" s="4">
        <v>72</v>
      </c>
      <c r="V409" s="4">
        <v>70.739999999999995</v>
      </c>
      <c r="W409" s="1">
        <v>1292</v>
      </c>
      <c r="X409" s="8">
        <v>0.45700000000000002</v>
      </c>
      <c r="Y409" s="4">
        <v>71.739999999999995</v>
      </c>
      <c r="Z409" s="4">
        <v>71.38</v>
      </c>
      <c r="AA409" s="1">
        <v>1181</v>
      </c>
      <c r="AB409" s="8">
        <v>0.487375</v>
      </c>
      <c r="AC409" s="4">
        <v>71.86</v>
      </c>
      <c r="AD409" s="4">
        <v>71.319999999999993</v>
      </c>
      <c r="AE409" s="1">
        <v>1201</v>
      </c>
      <c r="AF409" s="8">
        <v>0.48112500000000002</v>
      </c>
      <c r="AG409" s="4">
        <v>71.819999999999993</v>
      </c>
      <c r="AH409" s="4">
        <v>71.319999999999993</v>
      </c>
      <c r="AI409" s="1">
        <v>1198</v>
      </c>
      <c r="AJ409" s="8">
        <v>0.48225000000000001</v>
      </c>
    </row>
    <row r="410" spans="1:40" x14ac:dyDescent="0.2">
      <c r="A410" s="1"/>
      <c r="B410" s="105"/>
      <c r="C410" s="105"/>
      <c r="D410" s="29">
        <v>47</v>
      </c>
      <c r="E410" s="4">
        <v>71.59</v>
      </c>
      <c r="F410" s="4">
        <v>71.760000000000005</v>
      </c>
      <c r="G410" s="1">
        <v>1112</v>
      </c>
      <c r="H410" s="8">
        <v>0.50600000000000001</v>
      </c>
      <c r="I410" s="4">
        <v>51.62</v>
      </c>
      <c r="J410" s="4">
        <v>67.2</v>
      </c>
      <c r="K410" s="1">
        <v>35</v>
      </c>
      <c r="L410" s="8">
        <v>0.97499999999999998</v>
      </c>
      <c r="M410" s="4">
        <v>59.88</v>
      </c>
      <c r="N410" s="4">
        <v>34.81</v>
      </c>
      <c r="O410" s="1">
        <v>3143</v>
      </c>
      <c r="P410" s="8">
        <v>0.11550000000000001</v>
      </c>
      <c r="Q410" s="4">
        <v>72.28</v>
      </c>
      <c r="R410" s="4">
        <v>71.59</v>
      </c>
      <c r="S410" s="1">
        <v>1206</v>
      </c>
      <c r="T410" s="8">
        <v>0.47575000000000001</v>
      </c>
      <c r="U410" s="4">
        <v>71.64</v>
      </c>
      <c r="V410" s="4">
        <v>71.91</v>
      </c>
      <c r="W410" s="1">
        <v>1095</v>
      </c>
      <c r="X410" s="8">
        <v>0.50987499999999997</v>
      </c>
      <c r="Y410" s="4">
        <v>71.56</v>
      </c>
      <c r="Z410" s="4">
        <v>71.760000000000005</v>
      </c>
      <c r="AA410" s="1">
        <v>1109</v>
      </c>
      <c r="AB410" s="8">
        <v>0.50712500000000005</v>
      </c>
      <c r="AC410" s="4">
        <v>71.540000000000006</v>
      </c>
      <c r="AD410" s="4">
        <v>71.7</v>
      </c>
      <c r="AE410" s="1">
        <v>1116</v>
      </c>
      <c r="AF410" s="8">
        <v>0.50562499999999999</v>
      </c>
      <c r="AG410" s="4">
        <v>71.599999999999994</v>
      </c>
      <c r="AH410" s="4">
        <v>71.78</v>
      </c>
      <c r="AI410" s="1">
        <v>1111</v>
      </c>
      <c r="AJ410" s="8">
        <v>0.50624999999999998</v>
      </c>
    </row>
    <row r="411" spans="1:40" x14ac:dyDescent="0.2">
      <c r="A411" s="1"/>
      <c r="B411" s="105"/>
      <c r="C411" s="105"/>
      <c r="D411" s="29">
        <v>50</v>
      </c>
      <c r="E411" s="4">
        <v>72.775000000000006</v>
      </c>
      <c r="F411" s="4">
        <v>72.78</v>
      </c>
      <c r="G411" s="1">
        <v>1124</v>
      </c>
      <c r="H411" s="8">
        <v>0.49099999999999999</v>
      </c>
      <c r="I411" s="4">
        <v>65.2</v>
      </c>
      <c r="J411" s="4">
        <v>49.49</v>
      </c>
      <c r="K411" s="1">
        <v>2636</v>
      </c>
      <c r="L411" s="8">
        <v>0.189</v>
      </c>
      <c r="M411" s="4">
        <v>72.84</v>
      </c>
      <c r="N411" s="4">
        <v>72.12</v>
      </c>
      <c r="O411" s="1">
        <v>1190</v>
      </c>
      <c r="P411" s="8">
        <v>0.47412500000000002</v>
      </c>
      <c r="Q411" s="4">
        <v>72.89</v>
      </c>
      <c r="R411" s="4">
        <v>70.73</v>
      </c>
      <c r="S411" s="1">
        <v>1379</v>
      </c>
      <c r="T411" s="8">
        <v>0.426375</v>
      </c>
      <c r="U411" s="4">
        <v>72.709999999999994</v>
      </c>
      <c r="V411" s="4">
        <v>72.83</v>
      </c>
      <c r="W411" s="1">
        <v>1074</v>
      </c>
      <c r="X411" s="8">
        <v>0.50437500000000002</v>
      </c>
      <c r="Y411" s="4">
        <v>72.790000000000006</v>
      </c>
      <c r="Z411" s="4">
        <v>72.58</v>
      </c>
      <c r="AA411" s="1">
        <v>1119</v>
      </c>
      <c r="AB411" s="8">
        <v>0.49237500000000001</v>
      </c>
      <c r="AC411" s="4">
        <v>72.760000000000005</v>
      </c>
      <c r="AD411" s="4">
        <v>72.53</v>
      </c>
      <c r="AE411" s="1">
        <v>1123</v>
      </c>
      <c r="AF411" s="8">
        <v>0.49162499999999998</v>
      </c>
      <c r="AG411" s="4">
        <v>72.78</v>
      </c>
      <c r="AH411" s="4">
        <v>72.53</v>
      </c>
      <c r="AI411" s="1">
        <v>1124</v>
      </c>
      <c r="AJ411" s="8">
        <v>0.49125000000000002</v>
      </c>
    </row>
    <row r="412" spans="1:40" x14ac:dyDescent="0.2">
      <c r="A412" s="1"/>
      <c r="B412" s="105"/>
      <c r="C412" s="105"/>
      <c r="D412" s="30">
        <v>91</v>
      </c>
      <c r="E412" s="27">
        <v>72.739999999999995</v>
      </c>
      <c r="F412" s="27">
        <v>71.25</v>
      </c>
      <c r="G412" s="26">
        <v>1298</v>
      </c>
      <c r="H412" s="32">
        <v>0.44800000000000001</v>
      </c>
      <c r="I412" s="27">
        <v>57.1</v>
      </c>
      <c r="J412" s="27">
        <v>68.959999999999994</v>
      </c>
      <c r="K412" s="26">
        <v>188</v>
      </c>
      <c r="L412" s="32">
        <v>0.88200000000000001</v>
      </c>
      <c r="M412" s="27">
        <v>69.88</v>
      </c>
      <c r="N412" s="27">
        <v>72.760000000000005</v>
      </c>
      <c r="O412" s="26">
        <v>781</v>
      </c>
      <c r="P412" s="32">
        <v>0.60599999999999998</v>
      </c>
      <c r="Q412" s="27">
        <v>71.599999999999994</v>
      </c>
      <c r="R412" s="27">
        <v>66.95</v>
      </c>
      <c r="S412" s="26">
        <v>1699</v>
      </c>
      <c r="T412" s="32">
        <v>0.35925000000000001</v>
      </c>
      <c r="U412" s="27">
        <v>72.599999999999994</v>
      </c>
      <c r="V412" s="27">
        <v>71.8</v>
      </c>
      <c r="W412" s="26">
        <v>1210</v>
      </c>
      <c r="X412" s="32">
        <v>0.47149999999999997</v>
      </c>
      <c r="Y412" s="27">
        <v>72.75</v>
      </c>
      <c r="Z412" s="27">
        <v>71.06</v>
      </c>
      <c r="AA412" s="26">
        <v>1323</v>
      </c>
      <c r="AB412" s="32">
        <v>0.44174999999999998</v>
      </c>
      <c r="AC412" s="27">
        <v>72.75</v>
      </c>
      <c r="AD412" s="27">
        <v>71.260000000000005</v>
      </c>
      <c r="AE412" s="26">
        <v>1298</v>
      </c>
      <c r="AF412" s="32">
        <v>0.44800000000000001</v>
      </c>
      <c r="AG412" s="27">
        <v>72.75</v>
      </c>
      <c r="AH412" s="27">
        <v>71.260000000000005</v>
      </c>
      <c r="AI412" s="26">
        <v>1298</v>
      </c>
      <c r="AJ412" s="32">
        <v>0.44800000000000001</v>
      </c>
    </row>
    <row r="413" spans="1:40" x14ac:dyDescent="0.2">
      <c r="A413" s="1"/>
      <c r="B413" s="106"/>
      <c r="C413" s="105"/>
      <c r="D413" s="6" t="s">
        <v>8</v>
      </c>
      <c r="E413" s="7">
        <f t="shared" ref="E413:AJ413" si="106">AVERAGE(E408:E412)</f>
        <v>72.045000000000002</v>
      </c>
      <c r="F413" s="7">
        <f t="shared" si="106"/>
        <v>71.611999999999995</v>
      </c>
      <c r="G413" s="35">
        <f t="shared" si="106"/>
        <v>1183.4000000000001</v>
      </c>
      <c r="H413" s="34">
        <f t="shared" si="106"/>
        <v>0.48380000000000001</v>
      </c>
      <c r="I413" s="7">
        <f t="shared" si="106"/>
        <v>56.330000000000005</v>
      </c>
      <c r="J413" s="7">
        <f t="shared" si="106"/>
        <v>55.427999999999997</v>
      </c>
      <c r="K413" s="35">
        <f t="shared" si="106"/>
        <v>1267.5999999999999</v>
      </c>
      <c r="L413" s="34">
        <f t="shared" si="106"/>
        <v>0.61977499999999996</v>
      </c>
      <c r="M413" s="7">
        <f t="shared" si="106"/>
        <v>66.031999999999996</v>
      </c>
      <c r="N413" s="7">
        <f t="shared" si="106"/>
        <v>61.156000000000006</v>
      </c>
      <c r="O413" s="35">
        <f t="shared" si="106"/>
        <v>1547.2</v>
      </c>
      <c r="P413" s="34">
        <f t="shared" si="106"/>
        <v>0.45292499999999991</v>
      </c>
      <c r="Q413" s="7">
        <f t="shared" si="106"/>
        <v>72.131999999999991</v>
      </c>
      <c r="R413" s="7">
        <f t="shared" si="106"/>
        <v>70.222000000000008</v>
      </c>
      <c r="S413" s="35">
        <f t="shared" si="106"/>
        <v>1362.2</v>
      </c>
      <c r="T413" s="34">
        <f t="shared" si="106"/>
        <v>0.43814999999999998</v>
      </c>
      <c r="U413" s="7">
        <f t="shared" si="106"/>
        <v>71.989999999999981</v>
      </c>
      <c r="V413" s="7">
        <f t="shared" si="106"/>
        <v>71.674000000000007</v>
      </c>
      <c r="W413" s="35">
        <f t="shared" si="106"/>
        <v>1163.5999999999999</v>
      </c>
      <c r="X413" s="34">
        <f t="shared" si="106"/>
        <v>0.48919999999999997</v>
      </c>
      <c r="Y413" s="7">
        <f t="shared" si="106"/>
        <v>72.061999999999998</v>
      </c>
      <c r="Z413" s="7">
        <f t="shared" si="106"/>
        <v>71.555999999999997</v>
      </c>
      <c r="AA413" s="35">
        <f t="shared" si="106"/>
        <v>1187.8</v>
      </c>
      <c r="AB413" s="34">
        <f t="shared" si="106"/>
        <v>0.48242499999999999</v>
      </c>
      <c r="AC413" s="7">
        <f t="shared" si="106"/>
        <v>72.037999999999997</v>
      </c>
      <c r="AD413" s="7">
        <f t="shared" si="106"/>
        <v>71.555999999999997</v>
      </c>
      <c r="AE413" s="35">
        <f t="shared" si="106"/>
        <v>1185.8</v>
      </c>
      <c r="AF413" s="34">
        <f t="shared" si="106"/>
        <v>0.48317500000000002</v>
      </c>
      <c r="AG413" s="7">
        <f t="shared" si="106"/>
        <v>72.03</v>
      </c>
      <c r="AH413" s="7">
        <f t="shared" si="106"/>
        <v>71.567999999999998</v>
      </c>
      <c r="AI413" s="35">
        <f t="shared" si="106"/>
        <v>1183.4000000000001</v>
      </c>
      <c r="AJ413" s="34">
        <f t="shared" si="106"/>
        <v>0.48385</v>
      </c>
      <c r="AM413" s="1">
        <f>(E413-Q413)*100/E413</f>
        <v>-0.12075785967102379</v>
      </c>
      <c r="AN413" s="1">
        <f>(E413-U413)*100/E413</f>
        <v>7.6341175654134258E-2</v>
      </c>
    </row>
    <row r="414" spans="1:40" x14ac:dyDescent="0.2">
      <c r="A414" s="1"/>
      <c r="B414" s="104">
        <v>1.4</v>
      </c>
      <c r="C414" s="105"/>
      <c r="D414" s="28">
        <v>13</v>
      </c>
      <c r="E414" s="25">
        <v>69.540000000000006</v>
      </c>
      <c r="F414" s="25">
        <v>73.150000000000006</v>
      </c>
      <c r="G414" s="25">
        <v>681</v>
      </c>
      <c r="H414" s="31">
        <v>0.63400000000000001</v>
      </c>
      <c r="I414" s="25">
        <v>72.45</v>
      </c>
      <c r="J414" s="1">
        <v>72.260000000000005</v>
      </c>
      <c r="K414" s="25">
        <v>1130</v>
      </c>
      <c r="L414" s="36">
        <v>0.49299999999999999</v>
      </c>
      <c r="M414" s="25">
        <v>65.36</v>
      </c>
      <c r="N414" s="1">
        <v>71.78</v>
      </c>
      <c r="O414" s="25">
        <v>475</v>
      </c>
      <c r="P414" s="36">
        <v>0.72762499999999997</v>
      </c>
      <c r="Q414" s="25">
        <v>70.8</v>
      </c>
      <c r="R414" s="1">
        <v>73.2</v>
      </c>
      <c r="S414" s="25">
        <v>809</v>
      </c>
      <c r="T414" s="36">
        <v>0.58975</v>
      </c>
      <c r="U414" s="25">
        <v>69.81</v>
      </c>
      <c r="V414" s="1">
        <v>73.23</v>
      </c>
      <c r="W414" s="25">
        <v>697</v>
      </c>
      <c r="X414" s="36">
        <v>0.62762499999999999</v>
      </c>
      <c r="Y414" s="25">
        <v>69.489999999999995</v>
      </c>
      <c r="Z414" s="1">
        <v>73.13</v>
      </c>
      <c r="AA414" s="25">
        <v>678</v>
      </c>
      <c r="AB414" s="36">
        <v>0.635625</v>
      </c>
      <c r="AC414" s="25">
        <v>69.53</v>
      </c>
      <c r="AD414" s="1">
        <v>73.13</v>
      </c>
      <c r="AE414" s="25">
        <v>682</v>
      </c>
      <c r="AF414" s="36">
        <v>0.63424999999999998</v>
      </c>
      <c r="AG414" s="25">
        <v>69.510000000000005</v>
      </c>
      <c r="AH414" s="1">
        <v>73.12</v>
      </c>
      <c r="AI414" s="25">
        <v>683</v>
      </c>
      <c r="AJ414" s="36">
        <v>0.63412500000000005</v>
      </c>
    </row>
    <row r="415" spans="1:40" x14ac:dyDescent="0.2">
      <c r="A415" s="1"/>
      <c r="B415" s="105"/>
      <c r="C415" s="105"/>
      <c r="D415" s="29">
        <v>21</v>
      </c>
      <c r="E415" s="4">
        <v>66.25</v>
      </c>
      <c r="F415" s="4">
        <v>71.78</v>
      </c>
      <c r="G415" s="1">
        <v>566</v>
      </c>
      <c r="H415" s="33">
        <v>0.69599999999999995</v>
      </c>
      <c r="I415" s="4">
        <v>55.16</v>
      </c>
      <c r="J415" s="4">
        <v>68.39</v>
      </c>
      <c r="K415" s="1">
        <v>119</v>
      </c>
      <c r="L415" s="8">
        <v>0.91862500000000002</v>
      </c>
      <c r="M415" s="4">
        <v>63.18</v>
      </c>
      <c r="N415" s="4">
        <v>70.819999999999993</v>
      </c>
      <c r="O415" s="1">
        <v>425</v>
      </c>
      <c r="P415" s="8">
        <v>0.76200000000000001</v>
      </c>
      <c r="Q415" s="4">
        <v>66.5</v>
      </c>
      <c r="R415" s="4">
        <v>71.86</v>
      </c>
      <c r="S415" s="1">
        <v>578</v>
      </c>
      <c r="T415" s="8">
        <v>0.6905</v>
      </c>
      <c r="U415" s="4">
        <v>65.61</v>
      </c>
      <c r="V415" s="4">
        <v>71.650000000000006</v>
      </c>
      <c r="W415" s="1">
        <v>524</v>
      </c>
      <c r="X415" s="8">
        <v>0.71287500000000004</v>
      </c>
      <c r="Y415" s="4">
        <v>66.489999999999995</v>
      </c>
      <c r="Z415" s="4">
        <v>71.86</v>
      </c>
      <c r="AA415" s="1">
        <v>577</v>
      </c>
      <c r="AB415" s="8">
        <v>0.69087500000000002</v>
      </c>
      <c r="AC415" s="4">
        <v>66.260000000000005</v>
      </c>
      <c r="AD415" s="4">
        <v>71.78</v>
      </c>
      <c r="AE415" s="1">
        <v>567</v>
      </c>
      <c r="AF415" s="8">
        <v>0.69562500000000005</v>
      </c>
      <c r="AG415" s="4">
        <v>66.239999999999995</v>
      </c>
      <c r="AH415" s="4">
        <v>71.77</v>
      </c>
      <c r="AI415" s="1">
        <v>566</v>
      </c>
      <c r="AJ415" s="8">
        <v>0.69612499999999999</v>
      </c>
    </row>
    <row r="416" spans="1:40" x14ac:dyDescent="0.2">
      <c r="A416" s="1"/>
      <c r="B416" s="105"/>
      <c r="C416" s="105"/>
      <c r="D416" s="29">
        <v>47</v>
      </c>
      <c r="E416" s="4">
        <v>66.94</v>
      </c>
      <c r="F416" s="4">
        <v>72.45</v>
      </c>
      <c r="G416" s="1">
        <v>523</v>
      </c>
      <c r="H416" s="33">
        <v>0.7</v>
      </c>
      <c r="I416" s="4">
        <v>50</v>
      </c>
      <c r="J416" s="4">
        <v>66.67</v>
      </c>
      <c r="K416" s="1">
        <v>0</v>
      </c>
      <c r="L416" s="8">
        <v>1</v>
      </c>
      <c r="M416" s="4">
        <v>73.34</v>
      </c>
      <c r="N416" s="4">
        <v>71.59</v>
      </c>
      <c r="O416" s="1">
        <v>1312</v>
      </c>
      <c r="P416" s="8">
        <v>0.43862499999999999</v>
      </c>
      <c r="Q416" s="4">
        <v>67.14</v>
      </c>
      <c r="R416" s="4">
        <v>72.55</v>
      </c>
      <c r="S416" s="1">
        <v>525</v>
      </c>
      <c r="T416" s="8">
        <v>0.69737499999999997</v>
      </c>
      <c r="U416" s="4">
        <v>67.69</v>
      </c>
      <c r="V416" s="4">
        <v>72.680000000000007</v>
      </c>
      <c r="W416" s="1">
        <v>561</v>
      </c>
      <c r="X416" s="8">
        <v>0.68287500000000001</v>
      </c>
      <c r="Y416" s="4">
        <v>67.099999999999994</v>
      </c>
      <c r="Z416" s="4">
        <v>72.510000000000005</v>
      </c>
      <c r="AA416" s="1">
        <v>528</v>
      </c>
      <c r="AB416" s="8">
        <v>0.69699999999999995</v>
      </c>
      <c r="AC416" s="4">
        <v>66.94</v>
      </c>
      <c r="AD416" s="4">
        <v>72.459999999999994</v>
      </c>
      <c r="AE416" s="1">
        <v>520</v>
      </c>
      <c r="AF416" s="8">
        <v>0.70062500000000005</v>
      </c>
      <c r="AG416" s="4">
        <v>66.92</v>
      </c>
      <c r="AH416" s="4">
        <v>72.44</v>
      </c>
      <c r="AI416" s="1">
        <v>523</v>
      </c>
      <c r="AJ416" s="8">
        <v>0.7</v>
      </c>
    </row>
    <row r="417" spans="1:40" x14ac:dyDescent="0.2">
      <c r="A417" s="1"/>
      <c r="B417" s="105"/>
      <c r="C417" s="105"/>
      <c r="D417" s="29">
        <v>50</v>
      </c>
      <c r="E417" s="4">
        <v>71.06</v>
      </c>
      <c r="F417" s="4">
        <v>73.61</v>
      </c>
      <c r="G417" s="1">
        <v>772</v>
      </c>
      <c r="H417" s="8">
        <v>0.59599999999999997</v>
      </c>
      <c r="I417" s="4">
        <v>58.1</v>
      </c>
      <c r="J417" s="4">
        <v>29.96</v>
      </c>
      <c r="K417" s="1">
        <v>3283</v>
      </c>
      <c r="L417" s="8">
        <v>9.8250000000000004E-2</v>
      </c>
      <c r="M417" s="4">
        <v>70.34</v>
      </c>
      <c r="N417" s="4">
        <v>62.58</v>
      </c>
      <c r="O417" s="1">
        <v>2016</v>
      </c>
      <c r="P417" s="8">
        <v>0.29262500000000002</v>
      </c>
      <c r="Q417" s="4">
        <v>70.209999999999994</v>
      </c>
      <c r="R417" s="4">
        <v>73.55</v>
      </c>
      <c r="S417" s="1">
        <v>687</v>
      </c>
      <c r="T417" s="8">
        <v>0.62612500000000004</v>
      </c>
      <c r="U417" s="4">
        <v>70.95</v>
      </c>
      <c r="V417" s="4">
        <v>73.58</v>
      </c>
      <c r="W417" s="1">
        <v>764</v>
      </c>
      <c r="X417" s="8">
        <v>0.59950000000000003</v>
      </c>
      <c r="Y417" s="4">
        <v>70.97</v>
      </c>
      <c r="Z417" s="4">
        <v>73.62</v>
      </c>
      <c r="AA417" s="1">
        <v>760</v>
      </c>
      <c r="AB417" s="8">
        <v>0.60024999999999995</v>
      </c>
      <c r="AC417" s="4">
        <v>71.05</v>
      </c>
      <c r="AD417" s="4">
        <v>73.61</v>
      </c>
      <c r="AE417" s="1">
        <v>770</v>
      </c>
      <c r="AF417" s="8">
        <v>0.59699999999999998</v>
      </c>
      <c r="AG417" s="4">
        <v>71.06</v>
      </c>
      <c r="AH417" s="4">
        <v>73.61</v>
      </c>
      <c r="AI417" s="1">
        <v>772</v>
      </c>
      <c r="AJ417" s="8">
        <v>0.59637499999999999</v>
      </c>
    </row>
    <row r="418" spans="1:40" x14ac:dyDescent="0.2">
      <c r="A418" s="1"/>
      <c r="B418" s="105"/>
      <c r="C418" s="105"/>
      <c r="D418" s="30">
        <v>91</v>
      </c>
      <c r="E418" s="27">
        <v>68.290000000000006</v>
      </c>
      <c r="F418" s="27">
        <v>72.760000000000005</v>
      </c>
      <c r="G418" s="26">
        <v>611</v>
      </c>
      <c r="H418" s="32">
        <v>0.66400000000000003</v>
      </c>
      <c r="I418" s="27">
        <v>58.42</v>
      </c>
      <c r="J418" s="27">
        <v>69.44</v>
      </c>
      <c r="K418" s="26">
        <v>222</v>
      </c>
      <c r="L418" s="32">
        <v>0.86024999999999996</v>
      </c>
      <c r="M418" s="27">
        <v>61.66</v>
      </c>
      <c r="N418" s="27">
        <v>70.59</v>
      </c>
      <c r="O418" s="26">
        <v>320</v>
      </c>
      <c r="P418" s="32">
        <v>0.80337499999999995</v>
      </c>
      <c r="Q418" s="27">
        <v>70.95</v>
      </c>
      <c r="R418" s="27">
        <v>73.430000000000007</v>
      </c>
      <c r="S418" s="26">
        <v>788</v>
      </c>
      <c r="T418" s="32">
        <v>0.59350000000000003</v>
      </c>
      <c r="U418" s="27">
        <v>67.260000000000005</v>
      </c>
      <c r="V418" s="27">
        <v>72.5</v>
      </c>
      <c r="W418" s="26">
        <v>547</v>
      </c>
      <c r="X418" s="32">
        <v>0.69062500000000004</v>
      </c>
      <c r="Y418" s="27">
        <v>68.540000000000006</v>
      </c>
      <c r="Z418" s="27">
        <v>72.849999999999994</v>
      </c>
      <c r="AA418" s="26">
        <v>623</v>
      </c>
      <c r="AB418" s="32">
        <v>0.65887499999999999</v>
      </c>
      <c r="AC418" s="27">
        <v>68.27</v>
      </c>
      <c r="AD418" s="27">
        <v>72.78</v>
      </c>
      <c r="AE418" s="26">
        <v>607</v>
      </c>
      <c r="AF418" s="32">
        <v>0.66549999999999998</v>
      </c>
      <c r="AG418" s="27">
        <v>68.260000000000005</v>
      </c>
      <c r="AH418" s="27">
        <v>72.760000000000005</v>
      </c>
      <c r="AI418" s="26">
        <v>609</v>
      </c>
      <c r="AJ418" s="32">
        <v>0.66512499999999997</v>
      </c>
    </row>
    <row r="419" spans="1:40" x14ac:dyDescent="0.2">
      <c r="A419" s="1"/>
      <c r="B419" s="106"/>
      <c r="C419" s="106"/>
      <c r="D419" s="6" t="s">
        <v>8</v>
      </c>
      <c r="E419" s="7">
        <f t="shared" ref="E419:AJ419" si="107">AVERAGE(E414:E418)</f>
        <v>68.416000000000011</v>
      </c>
      <c r="F419" s="7">
        <f t="shared" si="107"/>
        <v>72.75</v>
      </c>
      <c r="G419" s="35">
        <f t="shared" si="107"/>
        <v>630.6</v>
      </c>
      <c r="H419" s="34">
        <f t="shared" si="107"/>
        <v>0.65800000000000014</v>
      </c>
      <c r="I419" s="7">
        <f t="shared" si="107"/>
        <v>58.826000000000001</v>
      </c>
      <c r="J419" s="7">
        <f t="shared" si="107"/>
        <v>61.344000000000008</v>
      </c>
      <c r="K419" s="35">
        <f t="shared" si="107"/>
        <v>950.8</v>
      </c>
      <c r="L419" s="34">
        <f t="shared" si="107"/>
        <v>0.67402499999999999</v>
      </c>
      <c r="M419" s="7">
        <f t="shared" si="107"/>
        <v>66.775999999999996</v>
      </c>
      <c r="N419" s="7">
        <f t="shared" si="107"/>
        <v>69.472000000000008</v>
      </c>
      <c r="O419" s="35">
        <f t="shared" si="107"/>
        <v>909.6</v>
      </c>
      <c r="P419" s="34">
        <f t="shared" si="107"/>
        <v>0.60485</v>
      </c>
      <c r="Q419" s="7">
        <f t="shared" si="107"/>
        <v>69.11999999999999</v>
      </c>
      <c r="R419" s="7">
        <f t="shared" si="107"/>
        <v>72.918000000000006</v>
      </c>
      <c r="S419" s="35">
        <f t="shared" si="107"/>
        <v>677.4</v>
      </c>
      <c r="T419" s="34">
        <f t="shared" si="107"/>
        <v>0.63945000000000007</v>
      </c>
      <c r="U419" s="7">
        <f t="shared" si="107"/>
        <v>68.263999999999996</v>
      </c>
      <c r="V419" s="7">
        <f t="shared" si="107"/>
        <v>72.727999999999994</v>
      </c>
      <c r="W419" s="35">
        <f t="shared" si="107"/>
        <v>618.6</v>
      </c>
      <c r="X419" s="34">
        <f t="shared" si="107"/>
        <v>0.66270000000000007</v>
      </c>
      <c r="Y419" s="7">
        <f t="shared" si="107"/>
        <v>68.518000000000001</v>
      </c>
      <c r="Z419" s="7">
        <f t="shared" si="107"/>
        <v>72.794000000000011</v>
      </c>
      <c r="AA419" s="35">
        <f t="shared" si="107"/>
        <v>633.20000000000005</v>
      </c>
      <c r="AB419" s="34">
        <f t="shared" si="107"/>
        <v>0.65652500000000003</v>
      </c>
      <c r="AC419" s="7">
        <f t="shared" si="107"/>
        <v>68.41</v>
      </c>
      <c r="AD419" s="7">
        <f t="shared" si="107"/>
        <v>72.751999999999995</v>
      </c>
      <c r="AE419" s="35">
        <f t="shared" si="107"/>
        <v>629.20000000000005</v>
      </c>
      <c r="AF419" s="34">
        <f t="shared" si="107"/>
        <v>0.65860000000000007</v>
      </c>
      <c r="AG419" s="7">
        <f t="shared" si="107"/>
        <v>68.397999999999996</v>
      </c>
      <c r="AH419" s="7">
        <f t="shared" si="107"/>
        <v>72.739999999999995</v>
      </c>
      <c r="AI419" s="35">
        <f t="shared" si="107"/>
        <v>630.6</v>
      </c>
      <c r="AJ419" s="34">
        <f t="shared" si="107"/>
        <v>0.65834999999999988</v>
      </c>
      <c r="AM419" s="1">
        <f>(E419-Q419)*100/E419</f>
        <v>-1.0289990645462745</v>
      </c>
      <c r="AN419" s="1">
        <f>(E419-U419)*100/E419</f>
        <v>0.22217025257251991</v>
      </c>
    </row>
    <row r="420" spans="1:40" x14ac:dyDescent="0.2">
      <c r="A420" s="1"/>
      <c r="B420" s="102">
        <v>1</v>
      </c>
      <c r="C420" s="104">
        <v>16</v>
      </c>
      <c r="D420" s="28">
        <v>13</v>
      </c>
      <c r="E420" s="25">
        <v>72.75</v>
      </c>
      <c r="F420" s="1">
        <v>71.06</v>
      </c>
      <c r="G420" s="25">
        <v>1323</v>
      </c>
      <c r="H420" s="31">
        <v>0.442</v>
      </c>
      <c r="I420" s="25">
        <v>50</v>
      </c>
      <c r="J420" s="1">
        <v>66.67</v>
      </c>
      <c r="K420" s="25">
        <v>0</v>
      </c>
      <c r="L420" s="36">
        <v>1</v>
      </c>
      <c r="M420" s="25">
        <v>66.819999999999993</v>
      </c>
      <c r="N420" s="1">
        <v>72.150000000000006</v>
      </c>
      <c r="O420" s="25">
        <v>562</v>
      </c>
      <c r="P420" s="36">
        <v>0.69125000000000003</v>
      </c>
      <c r="Q420" s="25">
        <v>70.81</v>
      </c>
      <c r="R420" s="1">
        <v>65.040000000000006</v>
      </c>
      <c r="S420" s="25">
        <v>1828</v>
      </c>
      <c r="T420" s="36">
        <v>0.33487499999999998</v>
      </c>
      <c r="U420" s="25">
        <v>72.64</v>
      </c>
      <c r="V420" s="1">
        <v>71.430000000000007</v>
      </c>
      <c r="W420" s="25">
        <v>1263</v>
      </c>
      <c r="X420" s="36">
        <v>0.45787499999999998</v>
      </c>
      <c r="Y420" s="25">
        <v>72.72</v>
      </c>
      <c r="Z420" s="1">
        <v>71.010000000000005</v>
      </c>
      <c r="AA420" s="25">
        <v>1328</v>
      </c>
      <c r="AB420" s="36">
        <v>0.44074999999999998</v>
      </c>
      <c r="AC420" s="25">
        <v>72.760000000000005</v>
      </c>
      <c r="AD420" s="1">
        <v>71.069999999999993</v>
      </c>
      <c r="AE420" s="25">
        <v>1323</v>
      </c>
      <c r="AF420" s="36">
        <v>0.44162499999999999</v>
      </c>
      <c r="AG420" s="25">
        <v>72.75</v>
      </c>
      <c r="AH420" s="1">
        <v>71.08</v>
      </c>
      <c r="AI420" s="25">
        <v>1321</v>
      </c>
      <c r="AJ420" s="36">
        <v>0.44224999999999998</v>
      </c>
    </row>
    <row r="421" spans="1:40" x14ac:dyDescent="0.2">
      <c r="A421" s="1"/>
      <c r="B421" s="103"/>
      <c r="C421" s="105"/>
      <c r="D421" s="29">
        <v>21</v>
      </c>
      <c r="E421" s="4">
        <v>72.56</v>
      </c>
      <c r="F421" s="4">
        <v>70.3</v>
      </c>
      <c r="G421" s="1">
        <v>1402</v>
      </c>
      <c r="H421" s="8">
        <v>0.42399999999999999</v>
      </c>
      <c r="I421" s="4">
        <v>72.08</v>
      </c>
      <c r="J421" s="4">
        <v>72.989999999999995</v>
      </c>
      <c r="K421" s="1">
        <v>982</v>
      </c>
      <c r="L421" s="8">
        <v>0.53374999999999995</v>
      </c>
      <c r="M421" s="4">
        <v>71.55</v>
      </c>
      <c r="N421" s="4">
        <v>73.95</v>
      </c>
      <c r="O421" s="1">
        <v>769</v>
      </c>
      <c r="P421" s="8">
        <v>0.59225000000000005</v>
      </c>
      <c r="Q421" s="4">
        <v>70.180000000000007</v>
      </c>
      <c r="R421" s="4">
        <v>63.19</v>
      </c>
      <c r="S421" s="1">
        <v>1952</v>
      </c>
      <c r="T421" s="8">
        <v>0.31025000000000003</v>
      </c>
      <c r="U421" s="4">
        <v>72.760000000000005</v>
      </c>
      <c r="V421" s="4">
        <v>70.75</v>
      </c>
      <c r="W421" s="1">
        <v>1365</v>
      </c>
      <c r="X421" s="8">
        <v>0.43112499999999998</v>
      </c>
      <c r="Y421" s="4">
        <v>72.38</v>
      </c>
      <c r="Z421" s="4">
        <v>69.94</v>
      </c>
      <c r="AA421" s="1">
        <v>1429</v>
      </c>
      <c r="AB421" s="8">
        <v>0.41899999999999998</v>
      </c>
      <c r="AC421" s="4">
        <v>72.55</v>
      </c>
      <c r="AD421" s="4">
        <v>70.28</v>
      </c>
      <c r="AE421" s="1">
        <v>1403</v>
      </c>
      <c r="AF421" s="8">
        <v>0.42375000000000002</v>
      </c>
      <c r="AG421" s="4">
        <v>72.56</v>
      </c>
      <c r="AH421" s="4">
        <v>70.3</v>
      </c>
      <c r="AI421" s="1">
        <v>1402</v>
      </c>
      <c r="AJ421" s="8">
        <v>0.423875</v>
      </c>
    </row>
    <row r="422" spans="1:40" x14ac:dyDescent="0.2">
      <c r="A422" s="1"/>
      <c r="B422" s="103"/>
      <c r="C422" s="105"/>
      <c r="D422" s="29">
        <v>47</v>
      </c>
      <c r="E422" s="4">
        <v>72.680000000000007</v>
      </c>
      <c r="F422" s="4">
        <v>70.680000000000007</v>
      </c>
      <c r="G422" s="1">
        <v>1365</v>
      </c>
      <c r="H422" s="8">
        <v>0.432</v>
      </c>
      <c r="I422" s="4">
        <v>50</v>
      </c>
      <c r="J422" s="4"/>
      <c r="K422" s="1">
        <v>4000</v>
      </c>
      <c r="L422" s="8">
        <v>0</v>
      </c>
      <c r="M422" s="4">
        <v>65.62</v>
      </c>
      <c r="N422" s="4">
        <v>71.77</v>
      </c>
      <c r="O422" s="1">
        <v>505</v>
      </c>
      <c r="P422" s="8">
        <v>0.71750000000000003</v>
      </c>
      <c r="Q422" s="4">
        <v>72.61</v>
      </c>
      <c r="R422" s="4">
        <v>70.52</v>
      </c>
      <c r="S422" s="1">
        <v>1380</v>
      </c>
      <c r="T422" s="8">
        <v>0.42887500000000001</v>
      </c>
      <c r="U422" s="4">
        <v>72.45</v>
      </c>
      <c r="V422" s="4">
        <v>70.150000000000006</v>
      </c>
      <c r="W422" s="1">
        <v>1410</v>
      </c>
      <c r="X422" s="8">
        <v>0.42299999999999999</v>
      </c>
      <c r="Y422" s="4">
        <v>72.680000000000007</v>
      </c>
      <c r="Z422" s="4">
        <v>70.7</v>
      </c>
      <c r="AA422" s="1">
        <v>1363</v>
      </c>
      <c r="AB422" s="8">
        <v>0.4325</v>
      </c>
      <c r="AC422" s="4">
        <v>72.680000000000007</v>
      </c>
      <c r="AD422" s="4">
        <v>70.7</v>
      </c>
      <c r="AE422" s="1">
        <v>1363</v>
      </c>
      <c r="AF422" s="33">
        <v>0.4325</v>
      </c>
      <c r="AG422" s="4">
        <v>72.69</v>
      </c>
      <c r="AH422" s="4">
        <v>70.69</v>
      </c>
      <c r="AI422" s="1">
        <v>1365</v>
      </c>
      <c r="AJ422" s="8">
        <v>0.43187500000000001</v>
      </c>
    </row>
    <row r="423" spans="1:40" x14ac:dyDescent="0.2">
      <c r="A423" s="1"/>
      <c r="B423" s="103"/>
      <c r="C423" s="105"/>
      <c r="D423" s="29">
        <v>50</v>
      </c>
      <c r="E423" s="4">
        <v>72.56</v>
      </c>
      <c r="F423" s="4">
        <v>69.87</v>
      </c>
      <c r="G423" s="1">
        <v>1455</v>
      </c>
      <c r="H423" s="8">
        <v>0.41099999999999998</v>
      </c>
      <c r="I423" s="4">
        <v>50</v>
      </c>
      <c r="J423" s="4"/>
      <c r="K423" s="1">
        <v>4000</v>
      </c>
      <c r="L423" s="8">
        <v>0</v>
      </c>
      <c r="M423" s="4">
        <v>70.23</v>
      </c>
      <c r="N423" s="4">
        <v>73.55</v>
      </c>
      <c r="O423" s="1">
        <v>688</v>
      </c>
      <c r="P423" s="8">
        <v>0.62575000000000003</v>
      </c>
      <c r="Q423" s="4">
        <v>72.900000000000006</v>
      </c>
      <c r="R423" s="4">
        <v>71.39</v>
      </c>
      <c r="S423" s="1">
        <v>1295</v>
      </c>
      <c r="T423" s="8">
        <v>0.44724999999999998</v>
      </c>
      <c r="U423" s="4">
        <v>72.959999999999994</v>
      </c>
      <c r="V423" s="4">
        <v>71.12</v>
      </c>
      <c r="W423" s="1">
        <v>1337</v>
      </c>
      <c r="X423" s="8">
        <v>0.43612499999999998</v>
      </c>
      <c r="Y423" s="4">
        <v>72.459999999999994</v>
      </c>
      <c r="Z423" s="4">
        <v>69.680000000000007</v>
      </c>
      <c r="AA423" s="1">
        <v>1468</v>
      </c>
      <c r="AB423" s="8">
        <v>0.40837499999999999</v>
      </c>
      <c r="AC423" s="4">
        <v>72.55</v>
      </c>
      <c r="AD423" s="4">
        <v>69.849999999999994</v>
      </c>
      <c r="AE423" s="1">
        <v>1456</v>
      </c>
      <c r="AF423" s="8">
        <v>0.41049999999999998</v>
      </c>
      <c r="AG423" s="4">
        <v>72.58</v>
      </c>
      <c r="AH423" s="4">
        <v>69.89</v>
      </c>
      <c r="AI423" s="1">
        <v>1454</v>
      </c>
      <c r="AJ423" s="8">
        <v>0.41075</v>
      </c>
    </row>
    <row r="424" spans="1:40" x14ac:dyDescent="0.2">
      <c r="A424" s="1"/>
      <c r="B424" s="103"/>
      <c r="C424" s="105"/>
      <c r="D424" s="30">
        <v>91</v>
      </c>
      <c r="E424" s="27">
        <v>72.5</v>
      </c>
      <c r="F424" s="27">
        <v>72.150000000000006</v>
      </c>
      <c r="G424" s="26">
        <v>1150</v>
      </c>
      <c r="H424" s="32">
        <v>0.48799999999999999</v>
      </c>
      <c r="I424" s="27">
        <v>61.95</v>
      </c>
      <c r="J424" s="27">
        <v>41.8</v>
      </c>
      <c r="K424" s="26">
        <v>2907</v>
      </c>
      <c r="L424" s="32">
        <v>0.15375</v>
      </c>
      <c r="M424" s="27">
        <v>71.260000000000005</v>
      </c>
      <c r="N424" s="27">
        <v>73.38</v>
      </c>
      <c r="O424" s="26">
        <v>832</v>
      </c>
      <c r="P424" s="32">
        <v>0.57937499999999997</v>
      </c>
      <c r="Q424" s="27">
        <v>72.28</v>
      </c>
      <c r="R424" s="27">
        <v>73.25</v>
      </c>
      <c r="S424" s="26">
        <v>854</v>
      </c>
      <c r="T424" s="32">
        <v>0.57374999999999998</v>
      </c>
      <c r="U424" s="27">
        <v>72.38</v>
      </c>
      <c r="V424" s="27">
        <v>72.099999999999994</v>
      </c>
      <c r="W424" s="26">
        <v>1145</v>
      </c>
      <c r="X424" s="32">
        <v>0.49</v>
      </c>
      <c r="Y424" s="27">
        <v>72.599999999999994</v>
      </c>
      <c r="Z424" s="27">
        <v>72.180000000000007</v>
      </c>
      <c r="AA424" s="26">
        <v>1156</v>
      </c>
      <c r="AB424" s="32">
        <v>0.48499999999999999</v>
      </c>
      <c r="AC424" s="27">
        <v>72.489999999999995</v>
      </c>
      <c r="AD424" s="27">
        <v>72.14</v>
      </c>
      <c r="AE424" s="26">
        <v>1150</v>
      </c>
      <c r="AF424" s="32">
        <v>0.48762499999999998</v>
      </c>
      <c r="AG424" s="27">
        <v>72.5</v>
      </c>
      <c r="AH424" s="27">
        <v>72.14</v>
      </c>
      <c r="AI424" s="26">
        <v>1151</v>
      </c>
      <c r="AJ424" s="32">
        <v>0.48725000000000002</v>
      </c>
    </row>
    <row r="425" spans="1:40" x14ac:dyDescent="0.2">
      <c r="A425" s="1"/>
      <c r="B425" s="101"/>
      <c r="C425" s="105"/>
      <c r="D425" s="6" t="s">
        <v>8</v>
      </c>
      <c r="E425" s="7">
        <f t="shared" ref="E425:AJ425" si="108">AVERAGE(E420:E424)</f>
        <v>72.61</v>
      </c>
      <c r="F425" s="7">
        <f t="shared" si="108"/>
        <v>70.812000000000012</v>
      </c>
      <c r="G425" s="35">
        <f t="shared" si="108"/>
        <v>1339</v>
      </c>
      <c r="H425" s="34">
        <f t="shared" si="108"/>
        <v>0.43940000000000001</v>
      </c>
      <c r="I425" s="7">
        <f t="shared" si="108"/>
        <v>56.805999999999997</v>
      </c>
      <c r="J425" s="7">
        <f t="shared" si="108"/>
        <v>60.486666666666657</v>
      </c>
      <c r="K425" s="35">
        <f t="shared" si="108"/>
        <v>2377.8000000000002</v>
      </c>
      <c r="L425" s="34">
        <f t="shared" si="108"/>
        <v>0.33750000000000002</v>
      </c>
      <c r="M425" s="7">
        <f t="shared" si="108"/>
        <v>69.096000000000004</v>
      </c>
      <c r="N425" s="7">
        <f t="shared" si="108"/>
        <v>72.960000000000008</v>
      </c>
      <c r="O425" s="35">
        <f t="shared" si="108"/>
        <v>671.2</v>
      </c>
      <c r="P425" s="34">
        <f t="shared" si="108"/>
        <v>0.64122500000000004</v>
      </c>
      <c r="Q425" s="7">
        <f t="shared" si="108"/>
        <v>71.756</v>
      </c>
      <c r="R425" s="7">
        <f t="shared" si="108"/>
        <v>68.677999999999997</v>
      </c>
      <c r="S425" s="35">
        <f t="shared" si="108"/>
        <v>1461.8</v>
      </c>
      <c r="T425" s="34">
        <f t="shared" si="108"/>
        <v>0.41899999999999993</v>
      </c>
      <c r="U425" s="7">
        <f t="shared" si="108"/>
        <v>72.638000000000005</v>
      </c>
      <c r="V425" s="7">
        <f t="shared" si="108"/>
        <v>71.110000000000014</v>
      </c>
      <c r="W425" s="35">
        <f t="shared" si="108"/>
        <v>1304</v>
      </c>
      <c r="X425" s="34">
        <f t="shared" si="108"/>
        <v>0.44762500000000005</v>
      </c>
      <c r="Y425" s="7">
        <f t="shared" si="108"/>
        <v>72.568000000000012</v>
      </c>
      <c r="Z425" s="7">
        <f t="shared" si="108"/>
        <v>70.701999999999998</v>
      </c>
      <c r="AA425" s="35">
        <f t="shared" si="108"/>
        <v>1348.8</v>
      </c>
      <c r="AB425" s="34">
        <f t="shared" si="108"/>
        <v>0.43712499999999999</v>
      </c>
      <c r="AC425" s="7">
        <f t="shared" si="108"/>
        <v>72.606000000000009</v>
      </c>
      <c r="AD425" s="7">
        <f t="shared" si="108"/>
        <v>70.807999999999993</v>
      </c>
      <c r="AE425" s="35">
        <f t="shared" si="108"/>
        <v>1339</v>
      </c>
      <c r="AF425" s="34">
        <f t="shared" si="108"/>
        <v>0.43919999999999992</v>
      </c>
      <c r="AG425" s="7">
        <f t="shared" si="108"/>
        <v>72.616</v>
      </c>
      <c r="AH425" s="7">
        <f t="shared" si="108"/>
        <v>70.819999999999993</v>
      </c>
      <c r="AI425" s="35">
        <f t="shared" si="108"/>
        <v>1338.6</v>
      </c>
      <c r="AJ425" s="34">
        <f t="shared" si="108"/>
        <v>0.43920000000000003</v>
      </c>
      <c r="AM425" s="1">
        <f>(E425-Q425)*100/E425</f>
        <v>1.1761465362897661</v>
      </c>
      <c r="AN425" s="1">
        <f>(E425-U425)*100/E425</f>
        <v>-3.8562181517705275E-2</v>
      </c>
    </row>
    <row r="426" spans="1:40" x14ac:dyDescent="0.2">
      <c r="A426" s="1"/>
      <c r="B426" s="104">
        <v>1.2</v>
      </c>
      <c r="C426" s="105"/>
      <c r="D426" s="28">
        <v>13</v>
      </c>
      <c r="E426" s="25">
        <v>72.95</v>
      </c>
      <c r="F426" s="25">
        <v>71.849999999999994</v>
      </c>
      <c r="G426" s="25">
        <v>1238</v>
      </c>
      <c r="H426" s="31">
        <v>0.46100000000000002</v>
      </c>
      <c r="I426" s="25">
        <v>69.760000000000005</v>
      </c>
      <c r="J426" s="1">
        <v>70.739999999999995</v>
      </c>
      <c r="K426" s="25">
        <v>1076</v>
      </c>
      <c r="L426" s="36">
        <v>0.53337500000000004</v>
      </c>
      <c r="M426" s="25">
        <v>72.510000000000005</v>
      </c>
      <c r="N426" s="1">
        <v>71.650000000000006</v>
      </c>
      <c r="O426" s="25">
        <v>1221</v>
      </c>
      <c r="P426" s="36">
        <v>0.46962500000000001</v>
      </c>
      <c r="Q426" s="25">
        <v>72.510000000000005</v>
      </c>
      <c r="R426" s="1">
        <v>72.180000000000007</v>
      </c>
      <c r="S426" s="25">
        <v>1147</v>
      </c>
      <c r="T426" s="36">
        <v>0.48812499999999998</v>
      </c>
      <c r="U426" s="25">
        <v>72.91</v>
      </c>
      <c r="V426" s="1">
        <v>71.48</v>
      </c>
      <c r="W426" s="25">
        <v>1285</v>
      </c>
      <c r="X426" s="36">
        <v>0.449625</v>
      </c>
      <c r="Y426" s="25">
        <v>72.84</v>
      </c>
      <c r="Z426" s="1">
        <v>71.849999999999994</v>
      </c>
      <c r="AA426" s="25">
        <v>1227</v>
      </c>
      <c r="AB426" s="36">
        <v>0.46487499999999998</v>
      </c>
      <c r="AC426" s="25">
        <v>72.95</v>
      </c>
      <c r="AD426" s="1">
        <v>71.81</v>
      </c>
      <c r="AE426" s="25">
        <v>1244</v>
      </c>
      <c r="AF426" s="36">
        <v>0.45950000000000002</v>
      </c>
      <c r="AG426" s="25">
        <v>72.900000000000006</v>
      </c>
      <c r="AH426" s="1">
        <v>71.819999999999993</v>
      </c>
      <c r="AI426" s="25">
        <v>1237</v>
      </c>
      <c r="AJ426" s="36">
        <v>0.46174999999999999</v>
      </c>
    </row>
    <row r="427" spans="1:40" x14ac:dyDescent="0.2">
      <c r="A427" s="1"/>
      <c r="B427" s="105"/>
      <c r="C427" s="105"/>
      <c r="D427" s="29">
        <v>21</v>
      </c>
      <c r="E427" s="4">
        <v>73.16</v>
      </c>
      <c r="F427" s="4">
        <v>72.42</v>
      </c>
      <c r="G427" s="1">
        <v>1181</v>
      </c>
      <c r="H427" s="8">
        <v>0.47299999999999998</v>
      </c>
      <c r="I427" s="4">
        <v>50</v>
      </c>
      <c r="J427" s="4">
        <v>66.67</v>
      </c>
      <c r="K427" s="1">
        <v>0</v>
      </c>
      <c r="L427" s="8">
        <v>1</v>
      </c>
      <c r="M427" s="4">
        <v>71.75</v>
      </c>
      <c r="N427" s="4">
        <v>72.930000000000007</v>
      </c>
      <c r="O427" s="1">
        <v>956</v>
      </c>
      <c r="P427" s="8">
        <v>0.54349999999999998</v>
      </c>
      <c r="Q427" s="4">
        <v>72.97</v>
      </c>
      <c r="R427" s="4">
        <v>70.78</v>
      </c>
      <c r="S427" s="1">
        <v>1382</v>
      </c>
      <c r="T427" s="8">
        <v>0.42475000000000002</v>
      </c>
      <c r="U427" s="4">
        <v>73.260000000000005</v>
      </c>
      <c r="V427" s="4">
        <v>71.67</v>
      </c>
      <c r="W427" s="1">
        <v>1295</v>
      </c>
      <c r="X427" s="8">
        <v>0.44362499999999999</v>
      </c>
      <c r="Y427" s="4">
        <v>73.099999999999994</v>
      </c>
      <c r="Z427" s="4">
        <v>72.36</v>
      </c>
      <c r="AA427" s="1">
        <v>1183</v>
      </c>
      <c r="AB427" s="8">
        <v>0.47325</v>
      </c>
      <c r="AC427" s="4">
        <v>73.09</v>
      </c>
      <c r="AD427" s="4">
        <v>72.209999999999994</v>
      </c>
      <c r="AE427" s="1">
        <v>1203</v>
      </c>
      <c r="AF427" s="8">
        <v>0.46837499999999999</v>
      </c>
      <c r="AG427" s="4">
        <v>73.16</v>
      </c>
      <c r="AH427" s="4">
        <v>72.41</v>
      </c>
      <c r="AI427" s="1">
        <v>1183</v>
      </c>
      <c r="AJ427" s="8">
        <v>0.47262500000000002</v>
      </c>
    </row>
    <row r="428" spans="1:40" x14ac:dyDescent="0.2">
      <c r="A428" s="1"/>
      <c r="B428" s="105"/>
      <c r="C428" s="105"/>
      <c r="D428" s="29">
        <v>47</v>
      </c>
      <c r="E428" s="4">
        <v>72.819999999999993</v>
      </c>
      <c r="F428" s="4">
        <v>71.5</v>
      </c>
      <c r="G428" s="1">
        <v>1273</v>
      </c>
      <c r="H428" s="8">
        <v>0.45400000000000001</v>
      </c>
      <c r="I428" s="4">
        <v>50</v>
      </c>
      <c r="J428" s="4"/>
      <c r="K428" s="1">
        <v>4000</v>
      </c>
      <c r="L428" s="8">
        <v>0</v>
      </c>
      <c r="M428" s="4">
        <v>72.849999999999994</v>
      </c>
      <c r="N428" s="4">
        <v>69.3</v>
      </c>
      <c r="O428" s="1">
        <v>1548</v>
      </c>
      <c r="P428" s="8">
        <v>0.38450000000000001</v>
      </c>
      <c r="Q428" s="4">
        <v>72.290000000000006</v>
      </c>
      <c r="R428" s="4">
        <v>68.95</v>
      </c>
      <c r="S428" s="1">
        <v>1538</v>
      </c>
      <c r="T428" s="8">
        <v>0.392625</v>
      </c>
      <c r="U428" s="4">
        <v>72.78</v>
      </c>
      <c r="V428" s="4">
        <v>71.06</v>
      </c>
      <c r="W428" s="1">
        <v>1326</v>
      </c>
      <c r="X428" s="8">
        <v>0.44074999999999998</v>
      </c>
      <c r="Y428" s="4">
        <v>72.78</v>
      </c>
      <c r="Z428" s="4">
        <v>71.510000000000005</v>
      </c>
      <c r="AA428" s="1">
        <v>1266</v>
      </c>
      <c r="AB428" s="8">
        <v>0.45574999999999999</v>
      </c>
      <c r="AC428" s="4">
        <v>72.790000000000006</v>
      </c>
      <c r="AD428" s="4">
        <v>71.5</v>
      </c>
      <c r="AE428" s="1">
        <v>1269</v>
      </c>
      <c r="AF428" s="8">
        <v>0.45487499999999997</v>
      </c>
      <c r="AG428" s="4">
        <v>72.819999999999993</v>
      </c>
      <c r="AH428" s="4">
        <v>71.5</v>
      </c>
      <c r="AI428" s="1">
        <v>1273</v>
      </c>
      <c r="AJ428" s="8">
        <v>0.45350000000000001</v>
      </c>
    </row>
    <row r="429" spans="1:40" x14ac:dyDescent="0.2">
      <c r="A429" s="1"/>
      <c r="B429" s="105"/>
      <c r="C429" s="105"/>
      <c r="D429" s="29">
        <v>50</v>
      </c>
      <c r="E429" s="4">
        <v>72.63</v>
      </c>
      <c r="F429" s="4">
        <v>71.290000000000006</v>
      </c>
      <c r="G429" s="1">
        <v>1281</v>
      </c>
      <c r="H429" s="8">
        <v>0.45400000000000001</v>
      </c>
      <c r="I429" s="4">
        <v>50</v>
      </c>
      <c r="J429" s="4">
        <v>66.67</v>
      </c>
      <c r="K429" s="1">
        <v>0</v>
      </c>
      <c r="L429" s="8">
        <v>1</v>
      </c>
      <c r="M429" s="4">
        <v>71.790000000000006</v>
      </c>
      <c r="N429" s="4">
        <v>72.98</v>
      </c>
      <c r="O429" s="1">
        <v>952</v>
      </c>
      <c r="P429" s="8">
        <v>0.54412499999999997</v>
      </c>
      <c r="Q429" s="4">
        <v>72.84</v>
      </c>
      <c r="R429" s="4">
        <v>71.38</v>
      </c>
      <c r="S429" s="1">
        <v>1290</v>
      </c>
      <c r="T429" s="8">
        <v>0.449125</v>
      </c>
      <c r="U429" s="4">
        <v>72.56</v>
      </c>
      <c r="V429" s="4">
        <v>71.400000000000006</v>
      </c>
      <c r="W429" s="1">
        <v>1260</v>
      </c>
      <c r="X429" s="8">
        <v>0.45937499999999998</v>
      </c>
      <c r="Y429" s="4">
        <v>72.69</v>
      </c>
      <c r="Z429" s="4">
        <v>71.209999999999994</v>
      </c>
      <c r="AA429" s="1">
        <v>1298</v>
      </c>
      <c r="AB429" s="8">
        <v>0.448625</v>
      </c>
      <c r="AC429" s="4">
        <v>72.599999999999994</v>
      </c>
      <c r="AD429" s="4">
        <v>71.27</v>
      </c>
      <c r="AE429" s="1">
        <v>1281</v>
      </c>
      <c r="AF429" s="8">
        <v>0.45374999999999999</v>
      </c>
      <c r="AG429" s="4">
        <v>72.62</v>
      </c>
      <c r="AH429" s="4">
        <v>71.28</v>
      </c>
      <c r="AI429" s="1">
        <v>1282</v>
      </c>
      <c r="AJ429" s="8">
        <v>0.45324999999999999</v>
      </c>
    </row>
    <row r="430" spans="1:40" x14ac:dyDescent="0.2">
      <c r="A430" s="1"/>
      <c r="B430" s="105"/>
      <c r="C430" s="105"/>
      <c r="D430" s="30">
        <v>91</v>
      </c>
      <c r="E430" s="27">
        <v>72.23</v>
      </c>
      <c r="F430" s="27">
        <v>71.959999999999994</v>
      </c>
      <c r="G430" s="26">
        <v>1149</v>
      </c>
      <c r="H430" s="32">
        <v>0.49099999999999999</v>
      </c>
      <c r="I430" s="27">
        <v>50</v>
      </c>
      <c r="J430" s="27"/>
      <c r="K430" s="26">
        <v>4000</v>
      </c>
      <c r="L430" s="32">
        <v>0</v>
      </c>
      <c r="M430" s="27">
        <v>59.25</v>
      </c>
      <c r="N430" s="27">
        <v>69.7</v>
      </c>
      <c r="O430" s="26">
        <v>251</v>
      </c>
      <c r="P430" s="32">
        <v>0.84475</v>
      </c>
      <c r="Q430" s="27">
        <v>71.86</v>
      </c>
      <c r="R430" s="27">
        <v>68.5</v>
      </c>
      <c r="S430" s="26">
        <v>1552</v>
      </c>
      <c r="T430" s="32">
        <v>0.39337499999999997</v>
      </c>
      <c r="U430" s="27">
        <v>72.39</v>
      </c>
      <c r="V430" s="27">
        <v>71.400000000000006</v>
      </c>
      <c r="W430" s="26">
        <v>1242</v>
      </c>
      <c r="X430" s="32">
        <v>0.46562500000000001</v>
      </c>
      <c r="Y430" s="27">
        <v>72.260000000000005</v>
      </c>
      <c r="Z430" s="27">
        <v>71.88</v>
      </c>
      <c r="AA430" s="26">
        <v>1164</v>
      </c>
      <c r="AB430" s="32">
        <v>0.486375</v>
      </c>
      <c r="AC430" s="27">
        <v>72.2</v>
      </c>
      <c r="AD430" s="27">
        <v>71.86</v>
      </c>
      <c r="AE430" s="26">
        <v>1160</v>
      </c>
      <c r="AF430" s="32">
        <v>0.48799999999999999</v>
      </c>
      <c r="AG430" s="27">
        <v>72.22</v>
      </c>
      <c r="AH430" s="27">
        <v>71.959999999999994</v>
      </c>
      <c r="AI430" s="26">
        <v>1149</v>
      </c>
      <c r="AJ430" s="32">
        <v>0.49049999999999999</v>
      </c>
    </row>
    <row r="431" spans="1:40" x14ac:dyDescent="0.2">
      <c r="A431" s="1"/>
      <c r="B431" s="106"/>
      <c r="C431" s="105"/>
      <c r="D431" s="6" t="s">
        <v>8</v>
      </c>
      <c r="E431" s="7">
        <f t="shared" ref="E431:AJ431" si="109">AVERAGE(E426:E430)</f>
        <v>72.75800000000001</v>
      </c>
      <c r="F431" s="7">
        <f t="shared" si="109"/>
        <v>71.804000000000002</v>
      </c>
      <c r="G431" s="35">
        <f t="shared" si="109"/>
        <v>1224.4000000000001</v>
      </c>
      <c r="H431" s="34">
        <f t="shared" si="109"/>
        <v>0.46659999999999996</v>
      </c>
      <c r="I431" s="7">
        <f t="shared" si="109"/>
        <v>53.951999999999998</v>
      </c>
      <c r="J431" s="7">
        <f t="shared" si="109"/>
        <v>68.026666666666657</v>
      </c>
      <c r="K431" s="35">
        <f t="shared" si="109"/>
        <v>1815.2</v>
      </c>
      <c r="L431" s="34">
        <f t="shared" si="109"/>
        <v>0.50667499999999999</v>
      </c>
      <c r="M431" s="7">
        <f t="shared" si="109"/>
        <v>69.63</v>
      </c>
      <c r="N431" s="7">
        <f t="shared" si="109"/>
        <v>71.311999999999998</v>
      </c>
      <c r="O431" s="35">
        <f t="shared" si="109"/>
        <v>985.6</v>
      </c>
      <c r="P431" s="34">
        <f t="shared" si="109"/>
        <v>0.55730000000000002</v>
      </c>
      <c r="Q431" s="7">
        <f t="shared" si="109"/>
        <v>72.494</v>
      </c>
      <c r="R431" s="7">
        <f t="shared" si="109"/>
        <v>70.358000000000004</v>
      </c>
      <c r="S431" s="35">
        <f t="shared" si="109"/>
        <v>1381.8</v>
      </c>
      <c r="T431" s="34">
        <f t="shared" si="109"/>
        <v>0.42959999999999993</v>
      </c>
      <c r="U431" s="7">
        <f t="shared" si="109"/>
        <v>72.78</v>
      </c>
      <c r="V431" s="7">
        <f t="shared" si="109"/>
        <v>71.402000000000001</v>
      </c>
      <c r="W431" s="35">
        <f t="shared" si="109"/>
        <v>1281.5999999999999</v>
      </c>
      <c r="X431" s="34">
        <f t="shared" si="109"/>
        <v>0.45180000000000009</v>
      </c>
      <c r="Y431" s="7">
        <f t="shared" si="109"/>
        <v>72.733999999999995</v>
      </c>
      <c r="Z431" s="7">
        <f t="shared" si="109"/>
        <v>71.761999999999986</v>
      </c>
      <c r="AA431" s="35">
        <f t="shared" si="109"/>
        <v>1227.5999999999999</v>
      </c>
      <c r="AB431" s="34">
        <f t="shared" si="109"/>
        <v>0.46577499999999999</v>
      </c>
      <c r="AC431" s="7">
        <f t="shared" si="109"/>
        <v>72.726000000000013</v>
      </c>
      <c r="AD431" s="7">
        <f t="shared" si="109"/>
        <v>71.72999999999999</v>
      </c>
      <c r="AE431" s="35">
        <f t="shared" si="109"/>
        <v>1231.4000000000001</v>
      </c>
      <c r="AF431" s="34">
        <f t="shared" si="109"/>
        <v>0.46489999999999998</v>
      </c>
      <c r="AG431" s="7">
        <f t="shared" si="109"/>
        <v>72.744</v>
      </c>
      <c r="AH431" s="7">
        <f t="shared" si="109"/>
        <v>71.793999999999997</v>
      </c>
      <c r="AI431" s="35">
        <f t="shared" si="109"/>
        <v>1224.8</v>
      </c>
      <c r="AJ431" s="34">
        <f t="shared" si="109"/>
        <v>0.46632499999999999</v>
      </c>
      <c r="AM431" s="1">
        <f>(E431-Q431)*100/E431</f>
        <v>0.36284669727041696</v>
      </c>
      <c r="AN431" s="1">
        <f>(E431-U431)*100/E431</f>
        <v>-3.0237224772521724E-2</v>
      </c>
    </row>
    <row r="432" spans="1:40" x14ac:dyDescent="0.2">
      <c r="A432" s="1"/>
      <c r="B432" s="104">
        <v>1.4</v>
      </c>
      <c r="C432" s="105"/>
      <c r="D432" s="28">
        <v>13</v>
      </c>
      <c r="E432" s="25">
        <v>69.349999999999994</v>
      </c>
      <c r="F432" s="25">
        <v>73.42</v>
      </c>
      <c r="G432" s="25">
        <v>614</v>
      </c>
      <c r="H432" s="31">
        <v>0.65300000000000002</v>
      </c>
      <c r="I432" s="25">
        <v>52.92</v>
      </c>
      <c r="J432" s="1">
        <v>67.680000000000007</v>
      </c>
      <c r="K432" s="25">
        <v>57</v>
      </c>
      <c r="L432" s="36">
        <v>0.95650000000000002</v>
      </c>
      <c r="M432" s="25">
        <v>72.44</v>
      </c>
      <c r="N432" s="1">
        <v>73.63</v>
      </c>
      <c r="O432" s="25">
        <v>921</v>
      </c>
      <c r="P432" s="36">
        <v>0.54537500000000005</v>
      </c>
      <c r="Q432" s="25">
        <v>69.209999999999994</v>
      </c>
      <c r="R432" s="1">
        <v>73.31</v>
      </c>
      <c r="S432" s="25">
        <v>617</v>
      </c>
      <c r="T432" s="36">
        <v>0.65362500000000001</v>
      </c>
      <c r="U432" s="25">
        <v>68.27</v>
      </c>
      <c r="V432" s="1">
        <v>72.95</v>
      </c>
      <c r="W432" s="25">
        <v>577</v>
      </c>
      <c r="X432" s="36">
        <v>0.67300000000000004</v>
      </c>
      <c r="Y432" s="25">
        <v>69.95</v>
      </c>
      <c r="Z432" s="1">
        <v>73.67</v>
      </c>
      <c r="AA432" s="25">
        <v>637</v>
      </c>
      <c r="AB432" s="36">
        <v>0.64124999999999999</v>
      </c>
      <c r="AC432" s="25">
        <v>69.36</v>
      </c>
      <c r="AD432" s="1">
        <v>73.41</v>
      </c>
      <c r="AE432" s="25">
        <v>616</v>
      </c>
      <c r="AF432" s="36">
        <v>0.65237500000000004</v>
      </c>
      <c r="AG432" s="25">
        <v>69.34</v>
      </c>
      <c r="AH432" s="1">
        <v>73.41</v>
      </c>
      <c r="AI432" s="25">
        <v>614</v>
      </c>
      <c r="AJ432" s="36">
        <v>0.65312499999999996</v>
      </c>
    </row>
    <row r="433" spans="1:40" x14ac:dyDescent="0.2">
      <c r="A433" s="1"/>
      <c r="B433" s="105"/>
      <c r="C433" s="105"/>
      <c r="D433" s="29">
        <v>21</v>
      </c>
      <c r="E433" s="4">
        <v>64.209999999999994</v>
      </c>
      <c r="F433" s="4">
        <v>71.48</v>
      </c>
      <c r="G433" s="1">
        <v>413</v>
      </c>
      <c r="H433" s="33">
        <v>0.755</v>
      </c>
      <c r="I433" s="4">
        <v>50.3</v>
      </c>
      <c r="J433" s="4">
        <v>66.760000000000005</v>
      </c>
      <c r="K433" s="1">
        <v>7</v>
      </c>
      <c r="L433" s="8">
        <v>0.99524999999999997</v>
      </c>
      <c r="M433" s="4">
        <v>71.709999999999994</v>
      </c>
      <c r="N433" s="4">
        <v>70.97</v>
      </c>
      <c r="O433" s="1">
        <v>1234</v>
      </c>
      <c r="P433" s="8">
        <v>0.47437499999999999</v>
      </c>
      <c r="Q433" s="4">
        <v>67.400000000000006</v>
      </c>
      <c r="R433" s="4">
        <v>72.16</v>
      </c>
      <c r="S433" s="1">
        <v>620</v>
      </c>
      <c r="T433" s="8">
        <v>0.67100000000000004</v>
      </c>
      <c r="U433" s="4">
        <v>65.42</v>
      </c>
      <c r="V433" s="4">
        <v>71.790000000000006</v>
      </c>
      <c r="W433" s="1">
        <v>480</v>
      </c>
      <c r="X433" s="8">
        <v>0.72575000000000001</v>
      </c>
      <c r="Y433" s="4">
        <v>64.180000000000007</v>
      </c>
      <c r="Z433" s="4">
        <v>71.45</v>
      </c>
      <c r="AA433" s="1">
        <v>413</v>
      </c>
      <c r="AB433" s="8">
        <v>0.755</v>
      </c>
      <c r="AC433" s="4">
        <v>64.19</v>
      </c>
      <c r="AD433" s="4">
        <v>71.459999999999994</v>
      </c>
      <c r="AE433" s="1">
        <v>413</v>
      </c>
      <c r="AF433" s="8">
        <v>0.75487499999999996</v>
      </c>
      <c r="AG433" s="4">
        <v>64.19</v>
      </c>
      <c r="AH433" s="4">
        <v>71.459999999999994</v>
      </c>
      <c r="AI433" s="1">
        <v>413</v>
      </c>
      <c r="AJ433" s="8">
        <v>0.75487499999999996</v>
      </c>
    </row>
    <row r="434" spans="1:40" x14ac:dyDescent="0.2">
      <c r="A434" s="1"/>
      <c r="B434" s="105"/>
      <c r="C434" s="105"/>
      <c r="D434" s="29">
        <v>47</v>
      </c>
      <c r="E434" s="4">
        <v>66.75</v>
      </c>
      <c r="F434" s="4">
        <v>72.459999999999994</v>
      </c>
      <c r="G434" s="1">
        <v>500</v>
      </c>
      <c r="H434" s="8">
        <v>0.70799999999999996</v>
      </c>
      <c r="I434" s="4">
        <v>50</v>
      </c>
      <c r="J434" s="4"/>
      <c r="K434" s="1">
        <v>4000</v>
      </c>
      <c r="L434" s="8">
        <v>0</v>
      </c>
      <c r="M434" s="4">
        <v>70.78</v>
      </c>
      <c r="N434" s="4">
        <v>73.790000000000006</v>
      </c>
      <c r="O434" s="1">
        <v>709</v>
      </c>
      <c r="P434" s="8">
        <v>0.61499999999999999</v>
      </c>
      <c r="Q434" s="4">
        <v>62.64</v>
      </c>
      <c r="R434" s="4">
        <v>71.069999999999993</v>
      </c>
      <c r="S434" s="1">
        <v>328</v>
      </c>
      <c r="T434" s="8">
        <v>0.79162500000000002</v>
      </c>
      <c r="U434" s="4">
        <v>66.040000000000006</v>
      </c>
      <c r="V434" s="4">
        <v>72.28</v>
      </c>
      <c r="W434" s="1">
        <v>458</v>
      </c>
      <c r="X434" s="8">
        <v>0.72512500000000002</v>
      </c>
      <c r="Y434" s="4">
        <v>66.569999999999993</v>
      </c>
      <c r="Z434" s="4">
        <v>72.38</v>
      </c>
      <c r="AA434" s="1">
        <v>497</v>
      </c>
      <c r="AB434" s="8">
        <v>0.71</v>
      </c>
      <c r="AC434" s="4">
        <v>66.569999999999993</v>
      </c>
      <c r="AD434" s="4">
        <v>72.38</v>
      </c>
      <c r="AE434" s="1">
        <v>496</v>
      </c>
      <c r="AF434" s="8">
        <v>0.71025000000000005</v>
      </c>
      <c r="AG434" s="4">
        <v>66.72</v>
      </c>
      <c r="AH434" s="4">
        <v>72.45</v>
      </c>
      <c r="AI434" s="1">
        <v>500</v>
      </c>
      <c r="AJ434" s="8">
        <v>0.70774999999999999</v>
      </c>
    </row>
    <row r="435" spans="1:40" x14ac:dyDescent="0.2">
      <c r="A435" s="1"/>
      <c r="B435" s="105"/>
      <c r="C435" s="105"/>
      <c r="D435" s="29">
        <v>50</v>
      </c>
      <c r="E435" s="4">
        <v>68.66</v>
      </c>
      <c r="F435" s="4">
        <v>73.099999999999994</v>
      </c>
      <c r="G435" s="1">
        <v>594</v>
      </c>
      <c r="H435" s="8">
        <v>0.66500000000000004</v>
      </c>
      <c r="I435" s="4">
        <v>67.180000000000007</v>
      </c>
      <c r="J435" s="4">
        <v>57.16</v>
      </c>
      <c r="K435" s="1">
        <v>2248</v>
      </c>
      <c r="L435" s="8">
        <v>0.26624999999999999</v>
      </c>
      <c r="M435" s="4">
        <v>72.75</v>
      </c>
      <c r="N435" s="4">
        <v>73.58</v>
      </c>
      <c r="O435" s="1">
        <v>965</v>
      </c>
      <c r="P435" s="8">
        <v>0.53125</v>
      </c>
      <c r="Q435" s="4">
        <v>64.66</v>
      </c>
      <c r="R435" s="4">
        <v>71.88</v>
      </c>
      <c r="S435" s="1">
        <v>387</v>
      </c>
      <c r="T435" s="8">
        <v>0.75662499999999999</v>
      </c>
      <c r="U435" s="4">
        <v>69.36</v>
      </c>
      <c r="V435" s="4">
        <v>73.349999999999994</v>
      </c>
      <c r="W435" s="1">
        <v>627</v>
      </c>
      <c r="X435" s="8">
        <v>0.64962500000000001</v>
      </c>
      <c r="Y435" s="4">
        <v>68.95</v>
      </c>
      <c r="Z435" s="4">
        <v>73.150000000000006</v>
      </c>
      <c r="AA435" s="1">
        <v>616</v>
      </c>
      <c r="AB435" s="8">
        <v>0.65649999999999997</v>
      </c>
      <c r="AC435" s="4">
        <v>68.790000000000006</v>
      </c>
      <c r="AD435" s="4">
        <v>73.12</v>
      </c>
      <c r="AE435" s="1">
        <v>604</v>
      </c>
      <c r="AF435" s="8">
        <v>0.66112499999999996</v>
      </c>
      <c r="AG435" s="4">
        <v>68.66</v>
      </c>
      <c r="AH435" s="4">
        <v>73.099999999999994</v>
      </c>
      <c r="AI435" s="1">
        <v>594</v>
      </c>
      <c r="AJ435" s="8">
        <v>0.66487499999999999</v>
      </c>
    </row>
    <row r="436" spans="1:40" x14ac:dyDescent="0.2">
      <c r="A436" s="1"/>
      <c r="B436" s="105"/>
      <c r="C436" s="105"/>
      <c r="D436" s="30">
        <v>91</v>
      </c>
      <c r="E436" s="27">
        <v>72.349999999999994</v>
      </c>
      <c r="F436" s="27">
        <v>72.8</v>
      </c>
      <c r="G436" s="26">
        <v>1040</v>
      </c>
      <c r="H436" s="32">
        <v>0.51700000000000002</v>
      </c>
      <c r="I436" s="27">
        <v>53.68</v>
      </c>
      <c r="J436" s="27">
        <v>67.760000000000005</v>
      </c>
      <c r="K436" s="26">
        <v>106</v>
      </c>
      <c r="L436" s="32">
        <v>0.93674999999999997</v>
      </c>
      <c r="M436" s="27">
        <v>52.44</v>
      </c>
      <c r="N436" s="27">
        <v>67.430000000000007</v>
      </c>
      <c r="O436" s="26">
        <v>62</v>
      </c>
      <c r="P436" s="32">
        <v>0.96012500000000001</v>
      </c>
      <c r="Q436" s="27">
        <v>71.55</v>
      </c>
      <c r="R436" s="27">
        <v>73.069999999999993</v>
      </c>
      <c r="S436" s="26">
        <v>912</v>
      </c>
      <c r="T436" s="32">
        <v>0.55649999999999999</v>
      </c>
      <c r="U436" s="27">
        <v>72.209999999999994</v>
      </c>
      <c r="V436" s="27">
        <v>72.84</v>
      </c>
      <c r="W436" s="26">
        <v>1019</v>
      </c>
      <c r="X436" s="32">
        <v>0.52312499999999995</v>
      </c>
      <c r="Y436" s="27">
        <v>72.39</v>
      </c>
      <c r="Z436" s="27">
        <v>72.87</v>
      </c>
      <c r="AA436" s="26">
        <v>1034</v>
      </c>
      <c r="AB436" s="32">
        <v>0.517625</v>
      </c>
      <c r="AC436" s="27">
        <v>72.36</v>
      </c>
      <c r="AD436" s="27">
        <v>72.790000000000006</v>
      </c>
      <c r="AE436" s="26">
        <v>1042</v>
      </c>
      <c r="AF436" s="32">
        <v>0.51587499999999997</v>
      </c>
      <c r="AG436" s="27">
        <v>72.39</v>
      </c>
      <c r="AH436" s="27">
        <v>72.849999999999994</v>
      </c>
      <c r="AI436" s="26">
        <v>1037</v>
      </c>
      <c r="AJ436" s="32">
        <v>0.51687499999999997</v>
      </c>
    </row>
    <row r="437" spans="1:40" x14ac:dyDescent="0.2">
      <c r="A437" s="1"/>
      <c r="B437" s="106"/>
      <c r="C437" s="106"/>
      <c r="D437" s="6" t="s">
        <v>8</v>
      </c>
      <c r="E437" s="7">
        <f t="shared" ref="E437:AJ437" si="110">AVERAGE(E432:E436)</f>
        <v>68.26400000000001</v>
      </c>
      <c r="F437" s="7">
        <f t="shared" si="110"/>
        <v>72.652000000000015</v>
      </c>
      <c r="G437" s="35">
        <f t="shared" si="110"/>
        <v>632.20000000000005</v>
      </c>
      <c r="H437" s="34">
        <f t="shared" si="110"/>
        <v>0.65959999999999996</v>
      </c>
      <c r="I437" s="7">
        <f t="shared" si="110"/>
        <v>54.815999999999995</v>
      </c>
      <c r="J437" s="7">
        <f t="shared" si="110"/>
        <v>64.84</v>
      </c>
      <c r="K437" s="35">
        <f t="shared" si="110"/>
        <v>1283.5999999999999</v>
      </c>
      <c r="L437" s="34">
        <f t="shared" si="110"/>
        <v>0.63095000000000001</v>
      </c>
      <c r="M437" s="7">
        <f t="shared" si="110"/>
        <v>68.023999999999987</v>
      </c>
      <c r="N437" s="7">
        <f t="shared" si="110"/>
        <v>71.88</v>
      </c>
      <c r="O437" s="35">
        <f t="shared" si="110"/>
        <v>778.2</v>
      </c>
      <c r="P437" s="34">
        <f t="shared" si="110"/>
        <v>0.62522500000000014</v>
      </c>
      <c r="Q437" s="7">
        <f t="shared" si="110"/>
        <v>67.091999999999999</v>
      </c>
      <c r="R437" s="7">
        <f t="shared" si="110"/>
        <v>72.297999999999988</v>
      </c>
      <c r="S437" s="35">
        <f t="shared" si="110"/>
        <v>572.79999999999995</v>
      </c>
      <c r="T437" s="34">
        <f t="shared" si="110"/>
        <v>0.68587500000000001</v>
      </c>
      <c r="U437" s="7">
        <f t="shared" si="110"/>
        <v>68.260000000000005</v>
      </c>
      <c r="V437" s="7">
        <f t="shared" si="110"/>
        <v>72.64200000000001</v>
      </c>
      <c r="W437" s="35">
        <f t="shared" si="110"/>
        <v>632.20000000000005</v>
      </c>
      <c r="X437" s="34">
        <f t="shared" si="110"/>
        <v>0.65932499999999994</v>
      </c>
      <c r="Y437" s="7">
        <f t="shared" si="110"/>
        <v>68.407999999999987</v>
      </c>
      <c r="Z437" s="7">
        <f t="shared" si="110"/>
        <v>72.703999999999994</v>
      </c>
      <c r="AA437" s="35">
        <f t="shared" si="110"/>
        <v>639.4</v>
      </c>
      <c r="AB437" s="34">
        <f t="shared" si="110"/>
        <v>0.65607500000000007</v>
      </c>
      <c r="AC437" s="7">
        <f t="shared" si="110"/>
        <v>68.254000000000005</v>
      </c>
      <c r="AD437" s="7">
        <f t="shared" si="110"/>
        <v>72.632000000000005</v>
      </c>
      <c r="AE437" s="35">
        <f t="shared" si="110"/>
        <v>634.20000000000005</v>
      </c>
      <c r="AF437" s="34">
        <f t="shared" si="110"/>
        <v>0.65889999999999993</v>
      </c>
      <c r="AG437" s="7">
        <f t="shared" si="110"/>
        <v>68.259999999999991</v>
      </c>
      <c r="AH437" s="7">
        <f t="shared" si="110"/>
        <v>72.653999999999996</v>
      </c>
      <c r="AI437" s="35">
        <f t="shared" si="110"/>
        <v>631.6</v>
      </c>
      <c r="AJ437" s="34">
        <f t="shared" si="110"/>
        <v>0.65949999999999986</v>
      </c>
      <c r="AM437" s="1">
        <f>(E437-Q437)*100/E437</f>
        <v>1.7168639399976724</v>
      </c>
      <c r="AN437" s="1">
        <f>(E437-U437)*100/E437</f>
        <v>5.8596038907841441E-3</v>
      </c>
    </row>
    <row r="441" spans="1:40" x14ac:dyDescent="0.2">
      <c r="A441" s="24" t="s">
        <v>38</v>
      </c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</row>
    <row r="442" spans="1:4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40" x14ac:dyDescent="0.2">
      <c r="A443" s="1"/>
      <c r="B443" s="1" t="s">
        <v>39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40" x14ac:dyDescent="0.2">
      <c r="A444" s="1"/>
      <c r="B444" s="1"/>
      <c r="C444" s="1"/>
      <c r="D444" s="1"/>
      <c r="E444" s="1"/>
      <c r="F444" s="1"/>
      <c r="G444" s="1"/>
      <c r="H444" s="1"/>
      <c r="I444" s="125" t="s">
        <v>45</v>
      </c>
      <c r="J444" s="125"/>
      <c r="K444" s="125"/>
      <c r="L444" s="125"/>
      <c r="M444" s="125" t="s">
        <v>46</v>
      </c>
      <c r="N444" s="125"/>
      <c r="O444" s="125"/>
      <c r="P444" s="125"/>
    </row>
    <row r="445" spans="1:40" x14ac:dyDescent="0.2">
      <c r="A445" s="1"/>
      <c r="B445" s="100" t="s">
        <v>23</v>
      </c>
      <c r="C445" s="107" t="s">
        <v>0</v>
      </c>
      <c r="D445" s="108"/>
      <c r="E445" s="108"/>
      <c r="F445" s="108"/>
      <c r="G445" s="108"/>
      <c r="H445" s="108"/>
      <c r="I445" s="107" t="s">
        <v>39</v>
      </c>
      <c r="J445" s="111"/>
      <c r="K445" s="107" t="s">
        <v>42</v>
      </c>
      <c r="L445" s="111"/>
      <c r="M445" s="107" t="s">
        <v>39</v>
      </c>
      <c r="N445" s="111"/>
      <c r="O445" s="107" t="s">
        <v>42</v>
      </c>
      <c r="P445" s="111"/>
    </row>
    <row r="446" spans="1:40" x14ac:dyDescent="0.2">
      <c r="A446" s="1"/>
      <c r="B446" s="101"/>
      <c r="C446" s="19" t="s">
        <v>3</v>
      </c>
      <c r="D446" s="1" t="s">
        <v>4</v>
      </c>
      <c r="E446" s="1" t="s">
        <v>6</v>
      </c>
      <c r="F446" s="2" t="s">
        <v>7</v>
      </c>
      <c r="G446" s="1" t="s">
        <v>24</v>
      </c>
      <c r="H446" s="8" t="s">
        <v>25</v>
      </c>
      <c r="I446" s="8" t="s">
        <v>43</v>
      </c>
      <c r="J446" s="8" t="s">
        <v>44</v>
      </c>
      <c r="K446" s="8" t="s">
        <v>43</v>
      </c>
      <c r="L446" s="8" t="s">
        <v>44</v>
      </c>
      <c r="M446" s="8" t="s">
        <v>43</v>
      </c>
      <c r="N446" s="8" t="s">
        <v>44</v>
      </c>
      <c r="O446" s="8" t="s">
        <v>43</v>
      </c>
      <c r="P446" s="8" t="s">
        <v>44</v>
      </c>
    </row>
    <row r="447" spans="1:40" x14ac:dyDescent="0.2">
      <c r="A447" s="1"/>
      <c r="B447" s="102">
        <v>1</v>
      </c>
      <c r="C447" s="104">
        <v>8</v>
      </c>
      <c r="D447" s="28">
        <v>13</v>
      </c>
      <c r="E447" s="25">
        <v>72.33</v>
      </c>
      <c r="F447" s="1">
        <v>71.08</v>
      </c>
      <c r="G447" s="25">
        <v>1460</v>
      </c>
      <c r="H447" s="36">
        <v>0.47099999999999997</v>
      </c>
      <c r="I447" s="36">
        <v>0.35799999999999998</v>
      </c>
      <c r="J447" s="36">
        <v>0.41499999999999998</v>
      </c>
      <c r="K447" s="36">
        <v>0.26800000000000002</v>
      </c>
      <c r="L447" s="36">
        <v>0.39300000000000002</v>
      </c>
      <c r="M447" s="36">
        <v>0.1</v>
      </c>
      <c r="N447" s="36">
        <v>0.13500000000000001</v>
      </c>
      <c r="O447" s="36">
        <v>9.1999999999999998E-2</v>
      </c>
      <c r="P447" s="36">
        <v>0.13700000000000001</v>
      </c>
    </row>
    <row r="448" spans="1:40" x14ac:dyDescent="0.2">
      <c r="A448" s="1"/>
      <c r="B448" s="103"/>
      <c r="C448" s="105"/>
      <c r="D448" s="29">
        <v>21</v>
      </c>
      <c r="E448" s="4">
        <v>72.489999999999995</v>
      </c>
      <c r="F448" s="4">
        <v>73.099999999999994</v>
      </c>
      <c r="G448" s="1">
        <v>1124</v>
      </c>
      <c r="H448" s="8">
        <v>0.53600000000000003</v>
      </c>
      <c r="I448" s="8">
        <v>0.21</v>
      </c>
      <c r="J448" s="8">
        <v>0.23699999999999999</v>
      </c>
      <c r="K448" s="8">
        <v>0.20300000000000001</v>
      </c>
      <c r="L448" s="8">
        <v>0.22900000000000001</v>
      </c>
      <c r="M448" s="33">
        <v>5.6000000000000001E-2</v>
      </c>
      <c r="N448" s="33">
        <v>0.06</v>
      </c>
      <c r="O448" s="8">
        <v>5.7000000000000002E-2</v>
      </c>
      <c r="P448" s="8">
        <v>7.5999999999999998E-2</v>
      </c>
    </row>
    <row r="449" spans="1:16" x14ac:dyDescent="0.2">
      <c r="A449" s="1"/>
      <c r="B449" s="103"/>
      <c r="C449" s="105"/>
      <c r="D449" s="29">
        <v>47</v>
      </c>
      <c r="E449" s="4">
        <v>72.38</v>
      </c>
      <c r="F449" s="4">
        <v>72.16</v>
      </c>
      <c r="G449" s="1">
        <v>1281</v>
      </c>
      <c r="H449" s="8">
        <v>0.50600000000000001</v>
      </c>
      <c r="I449" s="8">
        <v>0.249</v>
      </c>
      <c r="J449" s="8">
        <v>0.40400000000000003</v>
      </c>
      <c r="K449" s="8">
        <v>0.19600000000000001</v>
      </c>
      <c r="L449" s="8">
        <v>0.33700000000000002</v>
      </c>
      <c r="M449" s="33">
        <v>7.2999999999999995E-2</v>
      </c>
      <c r="N449" s="33">
        <v>0.22500000000000001</v>
      </c>
      <c r="O449" s="8">
        <v>7.0999999999999994E-2</v>
      </c>
      <c r="P449" s="8">
        <v>0.21</v>
      </c>
    </row>
    <row r="450" spans="1:16" x14ac:dyDescent="0.2">
      <c r="A450" s="1"/>
      <c r="B450" s="103"/>
      <c r="C450" s="105"/>
      <c r="D450" s="29">
        <v>50</v>
      </c>
      <c r="E450" s="4">
        <v>72.64</v>
      </c>
      <c r="F450" s="4">
        <v>71.849999999999994</v>
      </c>
      <c r="G450" s="1">
        <v>1369</v>
      </c>
      <c r="H450" s="8">
        <v>0.48599999999999999</v>
      </c>
      <c r="I450" s="8">
        <v>0.159</v>
      </c>
      <c r="J450" s="8">
        <v>0.311</v>
      </c>
      <c r="K450" s="8">
        <v>0.19700000000000001</v>
      </c>
      <c r="L450" s="8">
        <v>0.36899999999999999</v>
      </c>
      <c r="M450" s="33">
        <v>5.1999999999999998E-2</v>
      </c>
      <c r="N450" s="33">
        <v>0.17799999999999999</v>
      </c>
      <c r="O450" s="8">
        <v>4.4999999999999998E-2</v>
      </c>
      <c r="P450" s="8">
        <v>0.20399999999999999</v>
      </c>
    </row>
    <row r="451" spans="1:16" x14ac:dyDescent="0.2">
      <c r="A451" s="1"/>
      <c r="B451" s="103"/>
      <c r="C451" s="105"/>
      <c r="D451" s="30">
        <v>91</v>
      </c>
      <c r="E451" s="27">
        <v>71.87</v>
      </c>
      <c r="F451" s="27">
        <v>70.92</v>
      </c>
      <c r="G451" s="26">
        <v>1431</v>
      </c>
      <c r="H451" s="32">
        <v>0.48099999999999998</v>
      </c>
      <c r="I451" s="32">
        <v>0.314</v>
      </c>
      <c r="J451" s="32">
        <v>0.38700000000000001</v>
      </c>
      <c r="K451" s="32">
        <v>0.25800000000000001</v>
      </c>
      <c r="L451" s="32">
        <v>0.33800000000000002</v>
      </c>
      <c r="M451" s="52">
        <v>5.7000000000000002E-2</v>
      </c>
      <c r="N451" s="52">
        <v>9.7000000000000003E-2</v>
      </c>
      <c r="O451" s="32">
        <v>5.7000000000000002E-2</v>
      </c>
      <c r="P451" s="32">
        <v>0.11</v>
      </c>
    </row>
    <row r="452" spans="1:16" x14ac:dyDescent="0.2">
      <c r="A452" s="1"/>
      <c r="B452" s="101"/>
      <c r="C452" s="105"/>
      <c r="D452" s="6" t="s">
        <v>8</v>
      </c>
      <c r="E452" s="7">
        <f>AVERAGE(E447:E451)</f>
        <v>72.341999999999999</v>
      </c>
      <c r="F452" s="7">
        <f>AVERAGE(F447:F451)</f>
        <v>71.822000000000003</v>
      </c>
      <c r="G452" s="35">
        <f t="shared" ref="G452:H452" si="111">AVERAGE(G447:G451)</f>
        <v>1333</v>
      </c>
      <c r="H452" s="34">
        <f t="shared" si="111"/>
        <v>0.496</v>
      </c>
      <c r="I452" s="34">
        <f t="shared" ref="I452:N452" si="112">AVERAGE(I447:I451)</f>
        <v>0.25800000000000001</v>
      </c>
      <c r="J452" s="34">
        <f t="shared" si="112"/>
        <v>0.3508</v>
      </c>
      <c r="K452" s="34">
        <f t="shared" si="112"/>
        <v>0.22440000000000002</v>
      </c>
      <c r="L452" s="34">
        <f t="shared" si="112"/>
        <v>0.33320000000000005</v>
      </c>
      <c r="M452" s="34">
        <f t="shared" si="112"/>
        <v>6.7599999999999993E-2</v>
      </c>
      <c r="N452" s="34">
        <f t="shared" si="112"/>
        <v>0.13900000000000001</v>
      </c>
      <c r="O452" s="34">
        <v>6.4399999999999985E-2</v>
      </c>
      <c r="P452" s="34">
        <v>0.1474</v>
      </c>
    </row>
    <row r="453" spans="1:16" x14ac:dyDescent="0.2">
      <c r="A453" s="1"/>
      <c r="B453" s="104">
        <v>1.2</v>
      </c>
      <c r="C453" s="105"/>
      <c r="D453" s="28">
        <v>13</v>
      </c>
      <c r="E453" s="25">
        <v>71.78</v>
      </c>
      <c r="F453" s="25">
        <v>72.510000000000005</v>
      </c>
      <c r="G453" s="25">
        <v>1139</v>
      </c>
      <c r="H453" s="31">
        <v>0.54100000000000004</v>
      </c>
      <c r="I453" s="36">
        <v>0.185</v>
      </c>
      <c r="J453" s="36">
        <v>0.27500000000000002</v>
      </c>
      <c r="K453" s="36">
        <v>0.17199999999999999</v>
      </c>
      <c r="L453" s="36">
        <v>0.27900000000000003</v>
      </c>
      <c r="M453" s="36">
        <v>5.1999999999999998E-2</v>
      </c>
      <c r="N453" s="36">
        <v>0.14499999999999999</v>
      </c>
      <c r="O453" s="36">
        <v>5.0999999999999997E-2</v>
      </c>
      <c r="P453" s="36">
        <v>0.14299999999999999</v>
      </c>
    </row>
    <row r="454" spans="1:16" x14ac:dyDescent="0.2">
      <c r="A454" s="1"/>
      <c r="B454" s="105"/>
      <c r="C454" s="105"/>
      <c r="D454" s="29">
        <v>21</v>
      </c>
      <c r="E454" s="4">
        <v>71.95</v>
      </c>
      <c r="F454" s="4">
        <v>72.16</v>
      </c>
      <c r="G454" s="1">
        <v>1225</v>
      </c>
      <c r="H454" s="33">
        <v>0.52200000000000002</v>
      </c>
      <c r="I454" s="8">
        <v>0.13500000000000001</v>
      </c>
      <c r="J454" s="8">
        <v>0.28000000000000003</v>
      </c>
      <c r="K454" s="8">
        <v>0.13700000000000001</v>
      </c>
      <c r="L454" s="8">
        <v>0.28000000000000003</v>
      </c>
      <c r="M454" s="33">
        <v>4.3999999999999997E-2</v>
      </c>
      <c r="N454" s="33">
        <v>0.13800000000000001</v>
      </c>
      <c r="O454" s="8">
        <v>4.2999999999999997E-2</v>
      </c>
      <c r="P454" s="8">
        <v>0.13700000000000001</v>
      </c>
    </row>
    <row r="455" spans="1:16" x14ac:dyDescent="0.2">
      <c r="A455" s="1"/>
      <c r="B455" s="105"/>
      <c r="C455" s="105"/>
      <c r="D455" s="29">
        <v>47</v>
      </c>
      <c r="E455" s="4">
        <v>71.84</v>
      </c>
      <c r="F455" s="4">
        <v>72.87</v>
      </c>
      <c r="G455" s="1">
        <v>1079</v>
      </c>
      <c r="H455" s="8">
        <v>0.55200000000000005</v>
      </c>
      <c r="I455" s="8">
        <v>0.23</v>
      </c>
      <c r="J455" s="8">
        <v>0.372</v>
      </c>
      <c r="K455" s="8">
        <v>0.248</v>
      </c>
      <c r="L455" s="8">
        <v>0.4</v>
      </c>
      <c r="M455" s="33">
        <v>7.1999999999999995E-2</v>
      </c>
      <c r="N455" s="33">
        <v>0.20799999999999999</v>
      </c>
      <c r="O455" s="8">
        <v>7.1999999999999995E-2</v>
      </c>
      <c r="P455" s="8">
        <v>0.215</v>
      </c>
    </row>
    <row r="456" spans="1:16" x14ac:dyDescent="0.2">
      <c r="A456" s="1"/>
      <c r="B456" s="105"/>
      <c r="C456" s="105"/>
      <c r="D456" s="29">
        <v>50</v>
      </c>
      <c r="E456" s="4">
        <v>70.98</v>
      </c>
      <c r="F456" s="4">
        <v>71.45</v>
      </c>
      <c r="G456" s="1">
        <v>1229</v>
      </c>
      <c r="H456" s="8">
        <v>0.53100000000000003</v>
      </c>
      <c r="I456" s="8">
        <v>9.9000000000000005E-2</v>
      </c>
      <c r="J456" s="8">
        <v>0.19900000000000001</v>
      </c>
      <c r="K456" s="8">
        <v>0.10299999999999999</v>
      </c>
      <c r="L456" s="8">
        <v>0.20300000000000001</v>
      </c>
      <c r="M456" s="33">
        <v>2.7E-2</v>
      </c>
      <c r="N456" s="33">
        <v>0.105</v>
      </c>
      <c r="O456" s="8">
        <v>2.5999999999999999E-2</v>
      </c>
      <c r="P456" s="8">
        <v>0.105</v>
      </c>
    </row>
    <row r="457" spans="1:16" x14ac:dyDescent="0.2">
      <c r="A457" s="1"/>
      <c r="B457" s="105"/>
      <c r="C457" s="105"/>
      <c r="D457" s="30">
        <v>91</v>
      </c>
      <c r="E457" s="27">
        <v>69.849999999999994</v>
      </c>
      <c r="F457" s="27">
        <v>68.25</v>
      </c>
      <c r="G457" s="26">
        <v>1620</v>
      </c>
      <c r="H457" s="32">
        <v>0.46400000000000002</v>
      </c>
      <c r="I457" s="32">
        <v>0.377</v>
      </c>
      <c r="J457" s="32">
        <v>0.46600000000000003</v>
      </c>
      <c r="K457" s="32">
        <v>0.34100000000000003</v>
      </c>
      <c r="L457" s="32">
        <v>0.43</v>
      </c>
      <c r="M457" s="52">
        <v>3.4000000000000002E-2</v>
      </c>
      <c r="N457" s="52">
        <v>5.6000000000000001E-2</v>
      </c>
      <c r="O457" s="32">
        <v>3.5999999999999997E-2</v>
      </c>
      <c r="P457" s="32">
        <v>6.7000000000000004E-2</v>
      </c>
    </row>
    <row r="458" spans="1:16" x14ac:dyDescent="0.2">
      <c r="A458" s="1"/>
      <c r="B458" s="106"/>
      <c r="C458" s="105"/>
      <c r="D458" s="6" t="s">
        <v>8</v>
      </c>
      <c r="E458" s="7">
        <f>AVERAGE(E453:E457)</f>
        <v>71.28</v>
      </c>
      <c r="F458" s="7">
        <f>AVERAGE(F453:F457)</f>
        <v>71.448000000000008</v>
      </c>
      <c r="G458" s="35">
        <f t="shared" ref="G458:H458" si="113">AVERAGE(G453:G457)</f>
        <v>1258.4000000000001</v>
      </c>
      <c r="H458" s="34">
        <f t="shared" si="113"/>
        <v>0.52200000000000002</v>
      </c>
      <c r="I458" s="34">
        <f t="shared" ref="I458:N458" si="114">AVERAGE(I453:I457)</f>
        <v>0.20519999999999999</v>
      </c>
      <c r="J458" s="34">
        <f t="shared" si="114"/>
        <v>0.31840000000000002</v>
      </c>
      <c r="K458" s="34">
        <f t="shared" si="114"/>
        <v>0.20019999999999999</v>
      </c>
      <c r="L458" s="34">
        <f t="shared" si="114"/>
        <v>0.31840000000000002</v>
      </c>
      <c r="M458" s="34">
        <f t="shared" si="114"/>
        <v>4.5799999999999993E-2</v>
      </c>
      <c r="N458" s="34">
        <f t="shared" si="114"/>
        <v>0.13040000000000002</v>
      </c>
      <c r="O458" s="34">
        <v>4.5599999999999995E-2</v>
      </c>
      <c r="P458" s="34">
        <v>0.13340000000000002</v>
      </c>
    </row>
    <row r="459" spans="1:16" x14ac:dyDescent="0.2">
      <c r="A459" s="1"/>
      <c r="B459" s="104">
        <v>1.4</v>
      </c>
      <c r="C459" s="105"/>
      <c r="D459" s="28">
        <v>13</v>
      </c>
      <c r="E459" s="25">
        <v>71.22</v>
      </c>
      <c r="F459" s="25">
        <v>72.290000000000006</v>
      </c>
      <c r="G459" s="25">
        <v>1106</v>
      </c>
      <c r="H459" s="31">
        <v>0.55300000000000005</v>
      </c>
      <c r="I459" s="36">
        <v>0.193</v>
      </c>
      <c r="J459" s="36">
        <v>0.27200000000000002</v>
      </c>
      <c r="K459" s="36">
        <v>0.17299999999999999</v>
      </c>
      <c r="L459" s="36">
        <v>0.25800000000000001</v>
      </c>
      <c r="M459" s="36">
        <v>3.7999999999999999E-2</v>
      </c>
      <c r="N459" s="36">
        <v>5.2999999999999999E-2</v>
      </c>
      <c r="O459" s="36">
        <v>3.7999999999999999E-2</v>
      </c>
      <c r="P459" s="36">
        <v>5.8000000000000003E-2</v>
      </c>
    </row>
    <row r="460" spans="1:16" x14ac:dyDescent="0.2">
      <c r="A460" s="1"/>
      <c r="B460" s="105"/>
      <c r="C460" s="105"/>
      <c r="D460" s="29">
        <v>21</v>
      </c>
      <c r="E460" s="4">
        <v>70.98</v>
      </c>
      <c r="F460" s="4">
        <v>73.95</v>
      </c>
      <c r="G460" s="1">
        <v>743</v>
      </c>
      <c r="H460" s="33">
        <v>0.628</v>
      </c>
      <c r="I460" s="8">
        <v>0.13600000000000001</v>
      </c>
      <c r="J460" s="8">
        <v>0.28899999999999998</v>
      </c>
      <c r="K460" s="8">
        <v>0.16800000000000001</v>
      </c>
      <c r="L460" s="8">
        <v>0.39900000000000002</v>
      </c>
      <c r="M460" s="33">
        <v>3.5000000000000003E-2</v>
      </c>
      <c r="N460" s="33">
        <v>5.8999999999999997E-2</v>
      </c>
      <c r="O460" s="8">
        <v>0.03</v>
      </c>
      <c r="P460" s="8">
        <v>4.1000000000000002E-2</v>
      </c>
    </row>
    <row r="461" spans="1:16" x14ac:dyDescent="0.2">
      <c r="A461" s="1"/>
      <c r="B461" s="105"/>
      <c r="C461" s="105"/>
      <c r="D461" s="29">
        <v>47</v>
      </c>
      <c r="E461" s="4">
        <v>68.349999999999994</v>
      </c>
      <c r="F461" s="4">
        <v>73.86</v>
      </c>
      <c r="G461" s="1">
        <v>390</v>
      </c>
      <c r="H461" s="8">
        <v>0.72499999999999998</v>
      </c>
      <c r="I461" s="8">
        <v>0.74</v>
      </c>
      <c r="J461" s="8">
        <v>0.56200000000000006</v>
      </c>
      <c r="K461" s="8">
        <v>0.54800000000000004</v>
      </c>
      <c r="L461" s="8">
        <v>0.52200000000000002</v>
      </c>
      <c r="M461" s="33">
        <v>7.3999999999999996E-2</v>
      </c>
      <c r="N461" s="33">
        <v>0.21</v>
      </c>
      <c r="O461" s="8">
        <v>7.5999999999999998E-2</v>
      </c>
      <c r="P461" s="8">
        <v>0.20899999999999999</v>
      </c>
    </row>
    <row r="462" spans="1:16" x14ac:dyDescent="0.2">
      <c r="A462" s="1"/>
      <c r="B462" s="105"/>
      <c r="C462" s="105"/>
      <c r="D462" s="29">
        <v>50</v>
      </c>
      <c r="E462" s="4">
        <v>68.02</v>
      </c>
      <c r="F462" s="4">
        <v>73.69</v>
      </c>
      <c r="G462" s="1">
        <v>382</v>
      </c>
      <c r="H462" s="33">
        <v>0.73</v>
      </c>
      <c r="I462" s="8">
        <v>0.45400000000000001</v>
      </c>
      <c r="J462" s="8">
        <v>0.51800000000000002</v>
      </c>
      <c r="K462" s="8">
        <v>0.42599999999999999</v>
      </c>
      <c r="L462" s="8">
        <v>0.52600000000000002</v>
      </c>
      <c r="M462" s="33">
        <v>2.4E-2</v>
      </c>
      <c r="N462" s="33">
        <v>0.105</v>
      </c>
      <c r="O462" s="8">
        <v>2.5000000000000001E-2</v>
      </c>
      <c r="P462" s="8">
        <v>0.105</v>
      </c>
    </row>
    <row r="463" spans="1:16" x14ac:dyDescent="0.2">
      <c r="A463" s="1"/>
      <c r="B463" s="105"/>
      <c r="C463" s="105"/>
      <c r="D463" s="30">
        <v>91</v>
      </c>
      <c r="E463" s="27">
        <v>69.290000000000006</v>
      </c>
      <c r="F463" s="27">
        <v>73.47</v>
      </c>
      <c r="G463" s="26">
        <v>609</v>
      </c>
      <c r="H463" s="32">
        <v>0.67100000000000004</v>
      </c>
      <c r="I463" s="32">
        <v>0.247</v>
      </c>
      <c r="J463" s="32">
        <v>0.3</v>
      </c>
      <c r="K463" s="32">
        <v>0.223</v>
      </c>
      <c r="L463" s="32">
        <v>0.30299999999999999</v>
      </c>
      <c r="M463" s="52">
        <v>2.5999999999999999E-2</v>
      </c>
      <c r="N463" s="52">
        <v>0.13600000000000001</v>
      </c>
      <c r="O463" s="32">
        <v>2.7E-2</v>
      </c>
      <c r="P463" s="32">
        <v>0.13600000000000001</v>
      </c>
    </row>
    <row r="464" spans="1:16" x14ac:dyDescent="0.2">
      <c r="A464" s="1"/>
      <c r="B464" s="106"/>
      <c r="C464" s="106"/>
      <c r="D464" s="6" t="s">
        <v>8</v>
      </c>
      <c r="E464" s="7">
        <f>AVERAGE(E459:E463)</f>
        <v>69.572000000000003</v>
      </c>
      <c r="F464" s="7">
        <f>AVERAGE(F459:F463)</f>
        <v>73.451999999999998</v>
      </c>
      <c r="G464" s="35">
        <f t="shared" ref="G464:H464" si="115">AVERAGE(G459:G463)</f>
        <v>646</v>
      </c>
      <c r="H464" s="34">
        <f t="shared" si="115"/>
        <v>0.6614000000000001</v>
      </c>
      <c r="I464" s="34">
        <f t="shared" ref="I464:N464" si="116">AVERAGE(I459:I463)</f>
        <v>0.35399999999999998</v>
      </c>
      <c r="J464" s="34">
        <f t="shared" si="116"/>
        <v>0.38819999999999999</v>
      </c>
      <c r="K464" s="34">
        <f t="shared" si="116"/>
        <v>0.30759999999999998</v>
      </c>
      <c r="L464" s="34">
        <f t="shared" si="116"/>
        <v>0.40160000000000001</v>
      </c>
      <c r="M464" s="34">
        <f t="shared" si="116"/>
        <v>3.9400000000000004E-2</v>
      </c>
      <c r="N464" s="34">
        <f t="shared" si="116"/>
        <v>0.11259999999999999</v>
      </c>
      <c r="O464" s="34">
        <v>3.9199999999999999E-2</v>
      </c>
      <c r="P464" s="34">
        <v>0.10979999999999998</v>
      </c>
    </row>
    <row r="465" spans="1:16" x14ac:dyDescent="0.2">
      <c r="A465" s="1"/>
      <c r="B465" s="102">
        <v>1</v>
      </c>
      <c r="C465" s="104">
        <v>16</v>
      </c>
      <c r="D465" s="28">
        <v>13</v>
      </c>
      <c r="E465" s="25">
        <v>75.239999999999995</v>
      </c>
      <c r="F465" s="1">
        <v>75.06</v>
      </c>
      <c r="G465" s="25">
        <v>1136</v>
      </c>
      <c r="H465" s="31">
        <v>0.50700000000000001</v>
      </c>
      <c r="I465" s="36">
        <v>3.3000000000000002E-2</v>
      </c>
      <c r="J465" s="36">
        <v>7.4999999999999997E-2</v>
      </c>
      <c r="K465" s="36">
        <v>4.7E-2</v>
      </c>
      <c r="L465" s="36">
        <v>0.09</v>
      </c>
      <c r="M465" s="36">
        <v>1.7999999999999999E-2</v>
      </c>
      <c r="N465" s="36">
        <v>4.1000000000000002E-2</v>
      </c>
      <c r="O465" s="36">
        <v>1.7999999999999999E-2</v>
      </c>
      <c r="P465" s="36">
        <v>2.9000000000000001E-2</v>
      </c>
    </row>
    <row r="466" spans="1:16" x14ac:dyDescent="0.2">
      <c r="A466" s="1"/>
      <c r="B466" s="103"/>
      <c r="C466" s="105"/>
      <c r="D466" s="29">
        <v>21</v>
      </c>
      <c r="E466" s="4">
        <v>75.33</v>
      </c>
      <c r="F466" s="4">
        <v>75.650000000000006</v>
      </c>
      <c r="G466" s="1">
        <v>1029</v>
      </c>
      <c r="H466" s="8">
        <v>0.52700000000000002</v>
      </c>
      <c r="I466" s="8">
        <v>3.6999999999999998E-2</v>
      </c>
      <c r="J466" s="8">
        <v>0.108</v>
      </c>
      <c r="K466" s="8">
        <v>4.3999999999999997E-2</v>
      </c>
      <c r="L466" s="8">
        <v>0.13</v>
      </c>
      <c r="M466" s="8">
        <v>2.1000000000000001E-2</v>
      </c>
      <c r="N466" s="8">
        <v>4.8000000000000001E-2</v>
      </c>
      <c r="O466" s="8">
        <v>2.3E-2</v>
      </c>
      <c r="P466" s="8">
        <v>7.8E-2</v>
      </c>
    </row>
    <row r="467" spans="1:16" x14ac:dyDescent="0.2">
      <c r="A467" s="1"/>
      <c r="B467" s="103"/>
      <c r="C467" s="105"/>
      <c r="D467" s="29">
        <v>47</v>
      </c>
      <c r="E467" s="4">
        <v>74.95</v>
      </c>
      <c r="F467" s="4">
        <v>75.31</v>
      </c>
      <c r="G467" s="1">
        <v>1041</v>
      </c>
      <c r="H467" s="8">
        <v>0.52800000000000002</v>
      </c>
      <c r="I467" s="8">
        <v>4.4999999999999998E-2</v>
      </c>
      <c r="J467" s="8">
        <v>4.4999999999999998E-2</v>
      </c>
      <c r="K467" s="8">
        <v>4.5999999999999999E-2</v>
      </c>
      <c r="L467" s="8">
        <v>4.4999999999999998E-2</v>
      </c>
      <c r="M467" s="8">
        <v>2.1999999999999999E-2</v>
      </c>
      <c r="N467" s="8">
        <v>2.1000000000000001E-2</v>
      </c>
      <c r="O467" s="8">
        <v>2.1999999999999999E-2</v>
      </c>
      <c r="P467" s="8">
        <v>2.1000000000000001E-2</v>
      </c>
    </row>
    <row r="468" spans="1:16" x14ac:dyDescent="0.2">
      <c r="A468" s="1"/>
      <c r="B468" s="103"/>
      <c r="C468" s="105"/>
      <c r="D468" s="29">
        <v>50</v>
      </c>
      <c r="E468" s="4">
        <v>75.12</v>
      </c>
      <c r="F468" s="4">
        <v>74.900000000000006</v>
      </c>
      <c r="G468" s="1">
        <v>1148</v>
      </c>
      <c r="H468" s="8">
        <v>0.505</v>
      </c>
      <c r="I468" s="8">
        <v>6.0999999999999999E-2</v>
      </c>
      <c r="J468" s="8">
        <v>0.186</v>
      </c>
      <c r="K468" s="8">
        <v>6.4000000000000001E-2</v>
      </c>
      <c r="L468" s="8">
        <v>0.191</v>
      </c>
      <c r="M468" s="8">
        <v>3.9E-2</v>
      </c>
      <c r="N468" s="8">
        <v>0.13200000000000001</v>
      </c>
      <c r="O468" s="8">
        <v>3.9E-2</v>
      </c>
      <c r="P468" s="8">
        <v>0.13700000000000001</v>
      </c>
    </row>
    <row r="469" spans="1:16" x14ac:dyDescent="0.2">
      <c r="A469" s="1"/>
      <c r="B469" s="103"/>
      <c r="C469" s="105"/>
      <c r="D469" s="30">
        <v>91</v>
      </c>
      <c r="E469" s="27">
        <v>72.7</v>
      </c>
      <c r="F469" s="27">
        <v>73.099999999999994</v>
      </c>
      <c r="G469" s="26">
        <v>1151</v>
      </c>
      <c r="H469" s="32">
        <v>0.52900000000000003</v>
      </c>
      <c r="I469" s="32">
        <v>0.121</v>
      </c>
      <c r="J469" s="32">
        <v>0.24199999999999999</v>
      </c>
      <c r="K469" s="32">
        <v>0.13</v>
      </c>
      <c r="L469" s="32">
        <v>0.251</v>
      </c>
      <c r="M469" s="32">
        <v>4.3999999999999997E-2</v>
      </c>
      <c r="N469" s="32">
        <v>0.125</v>
      </c>
      <c r="O469" s="32">
        <v>4.5999999999999999E-2</v>
      </c>
      <c r="P469" s="32">
        <v>0.114</v>
      </c>
    </row>
    <row r="470" spans="1:16" x14ac:dyDescent="0.2">
      <c r="A470" s="1"/>
      <c r="B470" s="101"/>
      <c r="C470" s="105"/>
      <c r="D470" s="6" t="s">
        <v>8</v>
      </c>
      <c r="E470" s="7">
        <f>AVERAGE(E465:E469)</f>
        <v>74.667999999999992</v>
      </c>
      <c r="F470" s="7">
        <f>AVERAGE(F465:F469)</f>
        <v>74.804000000000002</v>
      </c>
      <c r="G470" s="35">
        <f t="shared" ref="G470:H470" si="117">AVERAGE(G465:G469)</f>
        <v>1101</v>
      </c>
      <c r="H470" s="34">
        <f t="shared" si="117"/>
        <v>0.51919999999999999</v>
      </c>
      <c r="I470" s="34">
        <f t="shared" ref="I470:P470" si="118">AVERAGE(I465:I469)</f>
        <v>5.9399999999999994E-2</v>
      </c>
      <c r="J470" s="34">
        <f t="shared" si="118"/>
        <v>0.13119999999999998</v>
      </c>
      <c r="K470" s="34">
        <f t="shared" si="118"/>
        <v>6.6200000000000009E-2</v>
      </c>
      <c r="L470" s="34">
        <f t="shared" si="118"/>
        <v>0.14140000000000003</v>
      </c>
      <c r="M470" s="34">
        <f t="shared" si="118"/>
        <v>2.8800000000000003E-2</v>
      </c>
      <c r="N470" s="34">
        <f t="shared" si="118"/>
        <v>7.3399999999999993E-2</v>
      </c>
      <c r="O470" s="34">
        <f t="shared" si="118"/>
        <v>2.9600000000000005E-2</v>
      </c>
      <c r="P470" s="34">
        <f t="shared" si="118"/>
        <v>7.5800000000000006E-2</v>
      </c>
    </row>
    <row r="471" spans="1:16" x14ac:dyDescent="0.2">
      <c r="A471" s="1"/>
      <c r="B471" s="104">
        <v>1.2</v>
      </c>
      <c r="C471" s="105"/>
      <c r="D471" s="28">
        <v>13</v>
      </c>
      <c r="E471" s="25">
        <v>75.319999999999993</v>
      </c>
      <c r="F471" s="25">
        <v>74.78</v>
      </c>
      <c r="G471" s="25">
        <v>1202</v>
      </c>
      <c r="H471" s="31">
        <v>0.49299999999999999</v>
      </c>
      <c r="I471" s="36">
        <v>4.1000000000000002E-2</v>
      </c>
      <c r="J471" s="36">
        <v>5.7000000000000002E-2</v>
      </c>
      <c r="K471" s="36">
        <v>6.0999999999999999E-2</v>
      </c>
      <c r="L471" s="36">
        <v>7.5999999999999998E-2</v>
      </c>
      <c r="M471" s="36">
        <v>2.1000000000000001E-2</v>
      </c>
      <c r="N471" s="36">
        <v>0.03</v>
      </c>
      <c r="O471" s="36">
        <v>2.8000000000000001E-2</v>
      </c>
      <c r="P471" s="36">
        <v>0.04</v>
      </c>
    </row>
    <row r="472" spans="1:16" x14ac:dyDescent="0.2">
      <c r="A472" s="1"/>
      <c r="B472" s="105"/>
      <c r="C472" s="105"/>
      <c r="D472" s="29">
        <v>21</v>
      </c>
      <c r="E472" s="4">
        <v>75.27</v>
      </c>
      <c r="F472" s="4">
        <v>74.44</v>
      </c>
      <c r="G472" s="1">
        <v>1259</v>
      </c>
      <c r="H472" s="8">
        <v>0.48199999999999998</v>
      </c>
      <c r="I472" s="8">
        <v>5.0999999999999997E-2</v>
      </c>
      <c r="J472" s="8">
        <v>5.2999999999999999E-2</v>
      </c>
      <c r="K472" s="8">
        <v>3.7999999999999999E-2</v>
      </c>
      <c r="L472" s="8">
        <v>4.2999999999999997E-2</v>
      </c>
      <c r="M472" s="8">
        <v>2.1999999999999999E-2</v>
      </c>
      <c r="N472" s="8">
        <v>2.5000000000000001E-2</v>
      </c>
      <c r="O472" s="8">
        <v>2.1999999999999999E-2</v>
      </c>
      <c r="P472" s="8">
        <v>2.5999999999999999E-2</v>
      </c>
    </row>
    <row r="473" spans="1:16" x14ac:dyDescent="0.2">
      <c r="A473" s="1"/>
      <c r="B473" s="105"/>
      <c r="C473" s="105"/>
      <c r="D473" s="29">
        <v>47</v>
      </c>
      <c r="E473" s="4">
        <v>74.819999999999993</v>
      </c>
      <c r="F473" s="4">
        <v>74.08</v>
      </c>
      <c r="G473" s="1">
        <v>1263</v>
      </c>
      <c r="H473" s="8">
        <v>0.48499999999999999</v>
      </c>
      <c r="I473" s="8">
        <v>3.6999999999999998E-2</v>
      </c>
      <c r="J473" s="8">
        <v>5.8000000000000003E-2</v>
      </c>
      <c r="K473" s="8">
        <v>5.5E-2</v>
      </c>
      <c r="L473" s="8">
        <v>4.2000000000000003E-2</v>
      </c>
      <c r="M473" s="8">
        <v>1.7999999999999999E-2</v>
      </c>
      <c r="N473" s="8">
        <v>2.3E-2</v>
      </c>
      <c r="O473" s="8">
        <v>2.5999999999999999E-2</v>
      </c>
      <c r="P473" s="8">
        <v>2.1999999999999999E-2</v>
      </c>
    </row>
    <row r="474" spans="1:16" x14ac:dyDescent="0.2">
      <c r="A474" s="1"/>
      <c r="B474" s="105"/>
      <c r="C474" s="105"/>
      <c r="D474" s="29">
        <v>50</v>
      </c>
      <c r="E474" s="4">
        <v>74.430000000000007</v>
      </c>
      <c r="F474" s="4">
        <v>76.02</v>
      </c>
      <c r="G474" s="1">
        <v>807</v>
      </c>
      <c r="H474" s="33">
        <v>0.57999999999999996</v>
      </c>
      <c r="I474" s="8">
        <v>9.1999999999999998E-2</v>
      </c>
      <c r="J474" s="8">
        <v>6.7000000000000004E-2</v>
      </c>
      <c r="K474" s="8">
        <v>0.06</v>
      </c>
      <c r="L474" s="8">
        <v>5.8000000000000003E-2</v>
      </c>
      <c r="M474" s="8">
        <v>0.04</v>
      </c>
      <c r="N474" s="8">
        <v>0.04</v>
      </c>
      <c r="O474" s="8">
        <v>3.2000000000000001E-2</v>
      </c>
      <c r="P474" s="8">
        <v>3.3000000000000002E-2</v>
      </c>
    </row>
    <row r="475" spans="1:16" x14ac:dyDescent="0.2">
      <c r="A475" s="1"/>
      <c r="B475" s="105"/>
      <c r="C475" s="105"/>
      <c r="D475" s="30">
        <v>91</v>
      </c>
      <c r="E475" s="27">
        <v>74.75</v>
      </c>
      <c r="F475" s="27">
        <v>75.790000000000006</v>
      </c>
      <c r="G475" s="26">
        <v>908</v>
      </c>
      <c r="H475" s="32">
        <v>0.55700000000000005</v>
      </c>
      <c r="I475" s="32">
        <v>4.2000000000000003E-2</v>
      </c>
      <c r="J475" s="32">
        <v>3.6999999999999998E-2</v>
      </c>
      <c r="K475" s="32">
        <v>3.5999999999999997E-2</v>
      </c>
      <c r="L475" s="32">
        <v>0.04</v>
      </c>
      <c r="M475" s="32">
        <v>2.3E-2</v>
      </c>
      <c r="N475" s="32">
        <v>1.7000000000000001E-2</v>
      </c>
      <c r="O475" s="32">
        <v>0.02</v>
      </c>
      <c r="P475" s="32">
        <v>1.7999999999999999E-2</v>
      </c>
    </row>
    <row r="476" spans="1:16" x14ac:dyDescent="0.2">
      <c r="A476" s="1"/>
      <c r="B476" s="106"/>
      <c r="C476" s="105"/>
      <c r="D476" s="6" t="s">
        <v>8</v>
      </c>
      <c r="E476" s="7">
        <f>AVERAGE(E471:E475)</f>
        <v>74.917999999999992</v>
      </c>
      <c r="F476" s="7">
        <f>AVERAGE(F471:F475)</f>
        <v>75.022000000000006</v>
      </c>
      <c r="G476" s="35">
        <f t="shared" ref="G476:H476" si="119">AVERAGE(G471:G475)</f>
        <v>1087.8</v>
      </c>
      <c r="H476" s="34">
        <f t="shared" si="119"/>
        <v>0.51939999999999997</v>
      </c>
      <c r="I476" s="34">
        <f t="shared" ref="I476:P476" si="120">AVERAGE(I471:I475)</f>
        <v>5.2600000000000001E-2</v>
      </c>
      <c r="J476" s="34">
        <f t="shared" si="120"/>
        <v>5.4400000000000004E-2</v>
      </c>
      <c r="K476" s="34">
        <f t="shared" si="120"/>
        <v>0.05</v>
      </c>
      <c r="L476" s="34">
        <f t="shared" si="120"/>
        <v>5.1799999999999999E-2</v>
      </c>
      <c r="M476" s="34">
        <f t="shared" si="120"/>
        <v>2.4799999999999999E-2</v>
      </c>
      <c r="N476" s="34">
        <f t="shared" si="120"/>
        <v>2.7000000000000003E-2</v>
      </c>
      <c r="O476" s="34">
        <f t="shared" si="120"/>
        <v>2.5600000000000001E-2</v>
      </c>
      <c r="P476" s="34">
        <f t="shared" si="120"/>
        <v>2.7799999999999998E-2</v>
      </c>
    </row>
    <row r="477" spans="1:16" x14ac:dyDescent="0.2">
      <c r="A477" s="1"/>
      <c r="B477" s="104">
        <v>1.4</v>
      </c>
      <c r="C477" s="105"/>
      <c r="D477" s="28">
        <v>13</v>
      </c>
      <c r="E477" s="25">
        <v>72.239999999999995</v>
      </c>
      <c r="F477" s="25">
        <v>75.959999999999994</v>
      </c>
      <c r="G477" s="25">
        <v>476</v>
      </c>
      <c r="H477" s="31">
        <v>0.66900000000000004</v>
      </c>
      <c r="I477" s="36">
        <v>0.10199999999999999</v>
      </c>
      <c r="J477" s="36">
        <v>6.0999999999999999E-2</v>
      </c>
      <c r="K477" s="36">
        <v>4.2999999999999997E-2</v>
      </c>
      <c r="L477" s="36">
        <v>3.9E-2</v>
      </c>
      <c r="M477" s="36">
        <v>3.2000000000000001E-2</v>
      </c>
      <c r="N477" s="36">
        <v>1.6E-2</v>
      </c>
      <c r="O477" s="36">
        <v>2.5999999999999999E-2</v>
      </c>
      <c r="P477" s="36">
        <v>0.02</v>
      </c>
    </row>
    <row r="478" spans="1:16" x14ac:dyDescent="0.2">
      <c r="A478" s="1"/>
      <c r="B478" s="105"/>
      <c r="C478" s="105"/>
      <c r="D478" s="29">
        <v>21</v>
      </c>
      <c r="E478" s="4">
        <v>71.61</v>
      </c>
      <c r="F478" s="4">
        <v>75.87</v>
      </c>
      <c r="G478" s="1">
        <v>398</v>
      </c>
      <c r="H478" s="8">
        <v>0.69</v>
      </c>
      <c r="I478" s="8">
        <v>9.9000000000000005E-2</v>
      </c>
      <c r="J478" s="8">
        <v>3.3000000000000002E-2</v>
      </c>
      <c r="K478" s="8">
        <v>8.3000000000000004E-2</v>
      </c>
      <c r="L478" s="8">
        <v>2.7E-2</v>
      </c>
      <c r="M478" s="8">
        <v>2.1000000000000001E-2</v>
      </c>
      <c r="N478" s="8">
        <v>7.0000000000000001E-3</v>
      </c>
      <c r="O478" s="8">
        <v>1.7000000000000001E-2</v>
      </c>
      <c r="P478" s="8">
        <v>7.0000000000000001E-3</v>
      </c>
    </row>
    <row r="479" spans="1:16" x14ac:dyDescent="0.2">
      <c r="A479" s="1"/>
      <c r="B479" s="105"/>
      <c r="C479" s="105"/>
      <c r="D479" s="29">
        <v>47</v>
      </c>
      <c r="E479" s="4">
        <v>70.819999999999993</v>
      </c>
      <c r="F479" s="4">
        <v>75.569999999999993</v>
      </c>
      <c r="G479" s="1">
        <v>348</v>
      </c>
      <c r="H479" s="8">
        <v>0.70799999999999996</v>
      </c>
      <c r="I479" s="8">
        <v>8.5000000000000006E-2</v>
      </c>
      <c r="J479" s="8">
        <v>7.6999999999999999E-2</v>
      </c>
      <c r="K479" s="8">
        <v>0.13300000000000001</v>
      </c>
      <c r="L479" s="8">
        <v>0.115</v>
      </c>
      <c r="M479" s="8">
        <v>1.9E-2</v>
      </c>
      <c r="N479" s="8">
        <v>1.2999999999999999E-2</v>
      </c>
      <c r="O479" s="8">
        <v>2.1000000000000001E-2</v>
      </c>
      <c r="P479" s="8">
        <v>1.0999999999999999E-2</v>
      </c>
    </row>
    <row r="480" spans="1:16" x14ac:dyDescent="0.2">
      <c r="A480" s="1"/>
      <c r="B480" s="105"/>
      <c r="C480" s="105"/>
      <c r="D480" s="29">
        <v>50</v>
      </c>
      <c r="E480" s="4">
        <v>69.66</v>
      </c>
      <c r="F480" s="4">
        <v>75.099999999999994</v>
      </c>
      <c r="G480" s="1">
        <v>286</v>
      </c>
      <c r="H480" s="8">
        <v>0.73199999999999998</v>
      </c>
      <c r="I480" s="8">
        <v>0.13300000000000001</v>
      </c>
      <c r="J480" s="8">
        <v>0.14000000000000001</v>
      </c>
      <c r="K480" s="8">
        <v>0.154</v>
      </c>
      <c r="L480" s="8">
        <v>0.16</v>
      </c>
      <c r="M480" s="8">
        <v>1.7999999999999999E-2</v>
      </c>
      <c r="N480" s="8">
        <v>6.4000000000000001E-2</v>
      </c>
      <c r="O480" s="86">
        <v>2.1999999999999999E-2</v>
      </c>
      <c r="P480" s="8">
        <v>9.0999999999999998E-2</v>
      </c>
    </row>
    <row r="481" spans="1:16" x14ac:dyDescent="0.2">
      <c r="A481" s="1"/>
      <c r="B481" s="105"/>
      <c r="C481" s="105"/>
      <c r="D481" s="30">
        <v>91</v>
      </c>
      <c r="E481" s="27">
        <v>71.349999999999994</v>
      </c>
      <c r="F481" s="27">
        <v>75.739999999999995</v>
      </c>
      <c r="G481" s="26">
        <v>389</v>
      </c>
      <c r="H481" s="32">
        <v>0.69499999999999995</v>
      </c>
      <c r="I481" s="32">
        <v>8.2000000000000003E-2</v>
      </c>
      <c r="J481" s="32">
        <v>2.4E-2</v>
      </c>
      <c r="K481" s="32">
        <v>3.6999999999999998E-2</v>
      </c>
      <c r="L481" s="32">
        <v>1.7000000000000001E-2</v>
      </c>
      <c r="M481" s="32">
        <v>2.4E-2</v>
      </c>
      <c r="N481" s="32">
        <v>6.0000000000000001E-3</v>
      </c>
      <c r="O481" s="32">
        <v>0.02</v>
      </c>
      <c r="P481" s="32">
        <v>8.0000000000000002E-3</v>
      </c>
    </row>
    <row r="482" spans="1:16" x14ac:dyDescent="0.2">
      <c r="A482" s="1"/>
      <c r="B482" s="106"/>
      <c r="C482" s="106"/>
      <c r="D482" s="6" t="s">
        <v>8</v>
      </c>
      <c r="E482" s="7">
        <f>AVERAGE(E477:E481)</f>
        <v>71.135999999999996</v>
      </c>
      <c r="F482" s="7">
        <f>AVERAGE(F477:F481)</f>
        <v>75.647999999999996</v>
      </c>
      <c r="G482" s="35">
        <f t="shared" ref="G482:H482" si="121">AVERAGE(G477:G481)</f>
        <v>379.4</v>
      </c>
      <c r="H482" s="34">
        <f t="shared" si="121"/>
        <v>0.69880000000000009</v>
      </c>
      <c r="I482" s="34">
        <f t="shared" ref="I482:P482" si="122">AVERAGE(I477:I481)</f>
        <v>0.1002</v>
      </c>
      <c r="J482" s="34">
        <f t="shared" si="122"/>
        <v>6.7000000000000004E-2</v>
      </c>
      <c r="K482" s="34">
        <f t="shared" si="122"/>
        <v>0.09</v>
      </c>
      <c r="L482" s="34">
        <f t="shared" si="122"/>
        <v>7.1599999999999997E-2</v>
      </c>
      <c r="M482" s="34">
        <f t="shared" si="122"/>
        <v>2.2800000000000004E-2</v>
      </c>
      <c r="N482" s="34">
        <f t="shared" si="122"/>
        <v>2.1200000000000004E-2</v>
      </c>
      <c r="O482" s="34">
        <f t="shared" si="122"/>
        <v>2.12E-2</v>
      </c>
      <c r="P482" s="34">
        <f t="shared" si="122"/>
        <v>2.7400000000000001E-2</v>
      </c>
    </row>
    <row r="483" spans="1:16" x14ac:dyDescent="0.2">
      <c r="A483" s="1"/>
      <c r="B483" s="1"/>
      <c r="C483" s="1"/>
      <c r="D483" s="61"/>
      <c r="E483" s="62"/>
      <c r="F483" s="62"/>
      <c r="G483" s="63"/>
      <c r="H483" s="64"/>
      <c r="I483" s="1"/>
      <c r="J483" s="1"/>
      <c r="K483" s="1"/>
      <c r="L483" s="1"/>
      <c r="M483" s="1"/>
      <c r="N483" s="1"/>
      <c r="O483" s="1"/>
      <c r="P483" s="1"/>
    </row>
    <row r="484" spans="1:16" x14ac:dyDescent="0.2">
      <c r="A484" s="1"/>
      <c r="B484" s="1"/>
      <c r="C484" s="1"/>
      <c r="D484" s="61"/>
      <c r="E484" s="62"/>
      <c r="F484" s="62"/>
      <c r="G484" s="63"/>
      <c r="H484" s="64"/>
      <c r="I484" s="1"/>
      <c r="J484" s="1"/>
      <c r="K484" s="1"/>
      <c r="L484" s="1"/>
      <c r="M484" s="1"/>
      <c r="N484" s="1"/>
      <c r="O484" s="1"/>
      <c r="P484" s="1"/>
    </row>
    <row r="485" spans="1:16" x14ac:dyDescent="0.2">
      <c r="A485" s="1"/>
      <c r="B485" s="1"/>
      <c r="C485" s="1"/>
      <c r="D485" s="61"/>
      <c r="E485" s="62"/>
      <c r="F485" s="62"/>
      <c r="G485" s="63"/>
      <c r="H485" s="64"/>
      <c r="I485" s="1"/>
      <c r="J485" s="1"/>
      <c r="K485" s="1"/>
      <c r="L485" s="1"/>
      <c r="M485" s="1"/>
      <c r="N485" s="1"/>
      <c r="O485" s="1"/>
      <c r="P485" s="1"/>
    </row>
    <row r="486" spans="1:16" x14ac:dyDescent="0.2">
      <c r="A486" s="1"/>
      <c r="B486" s="1"/>
      <c r="C486" s="1"/>
      <c r="D486" s="61"/>
      <c r="E486" s="62"/>
      <c r="F486" s="62"/>
      <c r="G486" s="63"/>
      <c r="H486" s="64"/>
      <c r="I486" s="125" t="s">
        <v>45</v>
      </c>
      <c r="J486" s="125"/>
      <c r="K486" s="125"/>
      <c r="L486" s="125"/>
      <c r="M486" s="125" t="s">
        <v>46</v>
      </c>
      <c r="N486" s="125"/>
      <c r="O486" s="125"/>
      <c r="P486" s="125"/>
    </row>
    <row r="487" spans="1:16" x14ac:dyDescent="0.2">
      <c r="A487" s="1"/>
      <c r="B487" s="100" t="s">
        <v>23</v>
      </c>
      <c r="C487" s="107" t="s">
        <v>15</v>
      </c>
      <c r="D487" s="108"/>
      <c r="E487" s="108"/>
      <c r="F487" s="108"/>
      <c r="G487" s="108"/>
      <c r="H487" s="108"/>
      <c r="I487" s="107" t="s">
        <v>39</v>
      </c>
      <c r="J487" s="111"/>
      <c r="K487" s="107" t="s">
        <v>42</v>
      </c>
      <c r="L487" s="111"/>
      <c r="M487" s="107" t="s">
        <v>39</v>
      </c>
      <c r="N487" s="111"/>
      <c r="O487" s="107" t="s">
        <v>42</v>
      </c>
      <c r="P487" s="111"/>
    </row>
    <row r="488" spans="1:16" x14ac:dyDescent="0.2">
      <c r="A488" s="1"/>
      <c r="B488" s="101"/>
      <c r="C488" s="19" t="s">
        <v>3</v>
      </c>
      <c r="D488" s="1" t="s">
        <v>4</v>
      </c>
      <c r="E488" s="1" t="s">
        <v>6</v>
      </c>
      <c r="F488" s="2" t="s">
        <v>7</v>
      </c>
      <c r="G488" s="1" t="s">
        <v>24</v>
      </c>
      <c r="H488" s="8" t="s">
        <v>25</v>
      </c>
      <c r="I488" s="8" t="s">
        <v>43</v>
      </c>
      <c r="J488" s="8" t="s">
        <v>44</v>
      </c>
      <c r="K488" s="8" t="s">
        <v>43</v>
      </c>
      <c r="L488" s="8" t="s">
        <v>44</v>
      </c>
      <c r="M488" s="8" t="s">
        <v>43</v>
      </c>
      <c r="N488" s="8" t="s">
        <v>44</v>
      </c>
      <c r="O488" s="8" t="s">
        <v>43</v>
      </c>
      <c r="P488" s="8" t="s">
        <v>44</v>
      </c>
    </row>
    <row r="489" spans="1:16" x14ac:dyDescent="0.2">
      <c r="A489" s="1"/>
      <c r="B489" s="102">
        <v>1</v>
      </c>
      <c r="C489" s="104">
        <v>8</v>
      </c>
      <c r="D489" s="28">
        <v>13</v>
      </c>
      <c r="E489" s="25">
        <v>72.12</v>
      </c>
      <c r="F489" s="4">
        <v>70.8</v>
      </c>
      <c r="G489" s="25">
        <v>1297</v>
      </c>
      <c r="H489" s="36">
        <v>0.45500000000000002</v>
      </c>
      <c r="I489" s="36">
        <v>9.2999999999999999E-2</v>
      </c>
      <c r="J489" s="36">
        <v>0.19700000000000001</v>
      </c>
      <c r="K489" s="36">
        <v>0.11</v>
      </c>
      <c r="L489" s="36">
        <v>0.218</v>
      </c>
      <c r="M489" s="36">
        <v>2.5999999999999999E-2</v>
      </c>
      <c r="N489" s="36">
        <v>9.4E-2</v>
      </c>
      <c r="O489" s="36">
        <v>2.5000000000000001E-2</v>
      </c>
      <c r="P489" s="36">
        <v>6.4000000000000001E-2</v>
      </c>
    </row>
    <row r="490" spans="1:16" x14ac:dyDescent="0.2">
      <c r="A490" s="1"/>
      <c r="B490" s="103"/>
      <c r="C490" s="105"/>
      <c r="D490" s="29">
        <v>21</v>
      </c>
      <c r="E490" s="4">
        <v>71.900000000000006</v>
      </c>
      <c r="F490" s="4">
        <v>70.84</v>
      </c>
      <c r="G490" s="1">
        <v>1269</v>
      </c>
      <c r="H490" s="8">
        <v>0.46400000000000002</v>
      </c>
      <c r="I490" s="8">
        <v>0.16600000000000001</v>
      </c>
      <c r="J490" s="8">
        <v>0.27300000000000002</v>
      </c>
      <c r="K490" s="8">
        <v>0.182</v>
      </c>
      <c r="L490" s="8">
        <v>0.27900000000000003</v>
      </c>
      <c r="M490" s="33">
        <v>3.5000000000000003E-2</v>
      </c>
      <c r="N490" s="33">
        <v>8.5000000000000006E-2</v>
      </c>
      <c r="O490" s="8">
        <v>0.03</v>
      </c>
      <c r="P490" s="8">
        <v>9.2999999999999999E-2</v>
      </c>
    </row>
    <row r="491" spans="1:16" x14ac:dyDescent="0.2">
      <c r="A491" s="1"/>
      <c r="B491" s="103"/>
      <c r="C491" s="105"/>
      <c r="D491" s="29">
        <v>47</v>
      </c>
      <c r="E491" s="4">
        <v>71.58</v>
      </c>
      <c r="F491" s="4">
        <v>70.64</v>
      </c>
      <c r="G491" s="1">
        <v>1264</v>
      </c>
      <c r="H491" s="8">
        <v>0.46800000000000003</v>
      </c>
      <c r="I491" s="8">
        <v>0.222</v>
      </c>
      <c r="J491" s="8">
        <v>0.254</v>
      </c>
      <c r="K491" s="8">
        <v>0.18099999999999999</v>
      </c>
      <c r="L491" s="8">
        <v>0.25900000000000001</v>
      </c>
      <c r="M491" s="33">
        <v>3.6999999999999998E-2</v>
      </c>
      <c r="N491" s="33">
        <v>0.09</v>
      </c>
      <c r="O491" s="8">
        <v>3.6999999999999998E-2</v>
      </c>
      <c r="P491" s="8">
        <v>7.5999999999999998E-2</v>
      </c>
    </row>
    <row r="492" spans="1:16" x14ac:dyDescent="0.2">
      <c r="A492" s="1"/>
      <c r="B492" s="103"/>
      <c r="C492" s="105"/>
      <c r="D492" s="29">
        <v>50</v>
      </c>
      <c r="E492" s="4">
        <v>72.900000000000006</v>
      </c>
      <c r="F492" s="4">
        <v>71.98</v>
      </c>
      <c r="G492" s="1">
        <v>1215</v>
      </c>
      <c r="H492" s="8">
        <v>0.46700000000000003</v>
      </c>
      <c r="I492" s="8">
        <v>0.217</v>
      </c>
      <c r="J492" s="8">
        <v>0.25800000000000001</v>
      </c>
      <c r="K492" s="8">
        <v>0.25600000000000001</v>
      </c>
      <c r="L492" s="8">
        <v>0.28100000000000003</v>
      </c>
      <c r="M492" s="33">
        <v>5.0999999999999997E-2</v>
      </c>
      <c r="N492" s="33">
        <v>8.5999999999999993E-2</v>
      </c>
      <c r="O492" s="8">
        <v>5.0999999999999997E-2</v>
      </c>
      <c r="P492" s="8">
        <v>7.2999999999999995E-2</v>
      </c>
    </row>
    <row r="493" spans="1:16" x14ac:dyDescent="0.2">
      <c r="A493" s="1"/>
      <c r="B493" s="103"/>
      <c r="C493" s="105"/>
      <c r="D493" s="30">
        <v>91</v>
      </c>
      <c r="E493" s="27">
        <v>72.510000000000005</v>
      </c>
      <c r="F493" s="27">
        <v>71.3</v>
      </c>
      <c r="G493" s="26">
        <v>1268</v>
      </c>
      <c r="H493" s="32">
        <v>0.45800000000000002</v>
      </c>
      <c r="I493" s="32">
        <v>0.252</v>
      </c>
      <c r="J493" s="32">
        <v>0.247</v>
      </c>
      <c r="K493" s="32">
        <v>0.28199999999999997</v>
      </c>
      <c r="L493" s="32">
        <v>0.26500000000000001</v>
      </c>
      <c r="M493" s="52">
        <v>4.9000000000000002E-2</v>
      </c>
      <c r="N493" s="52">
        <v>7.4999999999999997E-2</v>
      </c>
      <c r="O493" s="32">
        <v>4.7E-2</v>
      </c>
      <c r="P493" s="32">
        <v>8.5000000000000006E-2</v>
      </c>
    </row>
    <row r="494" spans="1:16" x14ac:dyDescent="0.2">
      <c r="A494" s="1"/>
      <c r="B494" s="101"/>
      <c r="C494" s="105"/>
      <c r="D494" s="6" t="s">
        <v>8</v>
      </c>
      <c r="E494" s="7">
        <f>AVERAGE(E489:E493)</f>
        <v>72.201999999999998</v>
      </c>
      <c r="F494" s="7">
        <f>AVERAGE(F489:F493)</f>
        <v>71.111999999999995</v>
      </c>
      <c r="G494" s="35">
        <f>AVERAGE(G489:G493)</f>
        <v>1262.5999999999999</v>
      </c>
      <c r="H494" s="34">
        <f>AVERAGE(H489:H493)</f>
        <v>0.46240000000000003</v>
      </c>
      <c r="I494" s="34">
        <f t="shared" ref="I494:P494" si="123">AVERAGE(I489:I493)</f>
        <v>0.19</v>
      </c>
      <c r="J494" s="34">
        <f t="shared" si="123"/>
        <v>0.24580000000000002</v>
      </c>
      <c r="K494" s="34">
        <f t="shared" si="123"/>
        <v>0.20219999999999999</v>
      </c>
      <c r="L494" s="34">
        <f t="shared" si="123"/>
        <v>0.26040000000000002</v>
      </c>
      <c r="M494" s="34">
        <f t="shared" si="123"/>
        <v>3.9600000000000003E-2</v>
      </c>
      <c r="N494" s="34">
        <f t="shared" si="123"/>
        <v>8.5999999999999993E-2</v>
      </c>
      <c r="O494" s="34">
        <f t="shared" si="123"/>
        <v>3.7999999999999999E-2</v>
      </c>
      <c r="P494" s="34">
        <f t="shared" si="123"/>
        <v>7.8200000000000006E-2</v>
      </c>
    </row>
    <row r="495" spans="1:16" x14ac:dyDescent="0.2">
      <c r="A495" s="1"/>
      <c r="B495" s="104">
        <v>1.2</v>
      </c>
      <c r="C495" s="105"/>
      <c r="D495" s="28">
        <v>13</v>
      </c>
      <c r="E495" s="25">
        <v>71.31</v>
      </c>
      <c r="F495" s="25">
        <v>70.959999999999994</v>
      </c>
      <c r="G495" s="25">
        <v>1186</v>
      </c>
      <c r="H495" s="31">
        <v>0.49099999999999999</v>
      </c>
      <c r="I495" s="36">
        <v>0.13700000000000001</v>
      </c>
      <c r="J495" s="36">
        <v>0.25700000000000001</v>
      </c>
      <c r="K495" s="36">
        <v>0.129</v>
      </c>
      <c r="L495" s="36">
        <v>0.25600000000000001</v>
      </c>
      <c r="M495" s="36">
        <v>1.7999999999999999E-2</v>
      </c>
      <c r="N495" s="36">
        <v>0.09</v>
      </c>
      <c r="O495" s="36">
        <v>0.02</v>
      </c>
      <c r="P495" s="36">
        <v>0.108</v>
      </c>
    </row>
    <row r="496" spans="1:16" x14ac:dyDescent="0.2">
      <c r="A496" s="1"/>
      <c r="B496" s="105"/>
      <c r="C496" s="105"/>
      <c r="D496" s="29">
        <v>21</v>
      </c>
      <c r="E496" s="4">
        <v>71.81</v>
      </c>
      <c r="F496" s="4">
        <v>71.31</v>
      </c>
      <c r="G496" s="1">
        <v>1197</v>
      </c>
      <c r="H496" s="33">
        <v>0.48299999999999998</v>
      </c>
      <c r="I496" s="8">
        <v>0.13300000000000001</v>
      </c>
      <c r="J496" s="8">
        <v>0.191</v>
      </c>
      <c r="K496" s="8">
        <v>0.13200000000000001</v>
      </c>
      <c r="L496" s="8">
        <v>0.16400000000000001</v>
      </c>
      <c r="M496" s="33">
        <v>4.1000000000000002E-2</v>
      </c>
      <c r="N496" s="33">
        <v>2.7E-2</v>
      </c>
      <c r="O496" s="8">
        <v>3.4000000000000002E-2</v>
      </c>
      <c r="P496" s="8">
        <v>3.5999999999999997E-2</v>
      </c>
    </row>
    <row r="497" spans="1:16" x14ac:dyDescent="0.2">
      <c r="A497" s="1"/>
      <c r="B497" s="105"/>
      <c r="C497" s="105"/>
      <c r="D497" s="29">
        <v>47</v>
      </c>
      <c r="E497" s="4">
        <v>71.59</v>
      </c>
      <c r="F497" s="4">
        <v>71.760000000000005</v>
      </c>
      <c r="G497" s="1">
        <v>1112</v>
      </c>
      <c r="H497" s="8">
        <v>0.50600000000000001</v>
      </c>
      <c r="I497" s="8">
        <v>0.124</v>
      </c>
      <c r="J497" s="8">
        <v>0.249</v>
      </c>
      <c r="K497" s="8">
        <v>7.2999999999999995E-2</v>
      </c>
      <c r="L497" s="8">
        <v>0.21</v>
      </c>
      <c r="M497" s="33">
        <v>2.9000000000000001E-2</v>
      </c>
      <c r="N497" s="33">
        <v>7.9000000000000001E-2</v>
      </c>
      <c r="O497" s="8">
        <v>2.1999999999999999E-2</v>
      </c>
      <c r="P497" s="8">
        <v>6.9000000000000006E-2</v>
      </c>
    </row>
    <row r="498" spans="1:16" x14ac:dyDescent="0.2">
      <c r="A498" s="1"/>
      <c r="B498" s="105"/>
      <c r="C498" s="105"/>
      <c r="D498" s="29">
        <v>50</v>
      </c>
      <c r="E498" s="4">
        <v>72.775000000000006</v>
      </c>
      <c r="F498" s="4">
        <v>72.78</v>
      </c>
      <c r="G498" s="1">
        <v>1124</v>
      </c>
      <c r="H498" s="8">
        <v>0.49099999999999999</v>
      </c>
      <c r="I498" s="8">
        <v>9.9000000000000005E-2</v>
      </c>
      <c r="J498" s="8">
        <v>0.156</v>
      </c>
      <c r="K498" s="8">
        <v>0.183</v>
      </c>
      <c r="L498" s="8">
        <v>0.14199999999999999</v>
      </c>
      <c r="M498" s="33">
        <v>3.7999999999999999E-2</v>
      </c>
      <c r="N498" s="33">
        <v>5.1999999999999998E-2</v>
      </c>
      <c r="O498" s="8">
        <v>4.9000000000000002E-2</v>
      </c>
      <c r="P498" s="8">
        <v>5.7000000000000002E-2</v>
      </c>
    </row>
    <row r="499" spans="1:16" x14ac:dyDescent="0.2">
      <c r="A499" s="1"/>
      <c r="B499" s="105"/>
      <c r="C499" s="105"/>
      <c r="D499" s="30">
        <v>91</v>
      </c>
      <c r="E499" s="27">
        <v>72.739999999999995</v>
      </c>
      <c r="F499" s="27">
        <v>71.25</v>
      </c>
      <c r="G499" s="26">
        <v>1298</v>
      </c>
      <c r="H499" s="32">
        <v>0.44800000000000001</v>
      </c>
      <c r="I499" s="32">
        <v>8.2000000000000003E-2</v>
      </c>
      <c r="J499" s="32">
        <v>0.14699999999999999</v>
      </c>
      <c r="K499" s="32">
        <v>0.151</v>
      </c>
      <c r="L499" s="32">
        <v>0.20799999999999999</v>
      </c>
      <c r="M499" s="52">
        <v>2.4E-2</v>
      </c>
      <c r="N499" s="52">
        <v>5.8999999999999997E-2</v>
      </c>
      <c r="O499" s="32">
        <v>2.4E-2</v>
      </c>
      <c r="P499" s="32">
        <v>6.9000000000000006E-2</v>
      </c>
    </row>
    <row r="500" spans="1:16" x14ac:dyDescent="0.2">
      <c r="A500" s="1"/>
      <c r="B500" s="106"/>
      <c r="C500" s="105"/>
      <c r="D500" s="6" t="s">
        <v>8</v>
      </c>
      <c r="E500" s="7">
        <f>AVERAGE(E495:E499)</f>
        <v>72.045000000000002</v>
      </c>
      <c r="F500" s="7">
        <f>AVERAGE(F495:F499)</f>
        <v>71.611999999999995</v>
      </c>
      <c r="G500" s="35">
        <f>AVERAGE(G495:G499)</f>
        <v>1183.4000000000001</v>
      </c>
      <c r="H500" s="34">
        <f>AVERAGE(H495:H499)</f>
        <v>0.48380000000000001</v>
      </c>
      <c r="I500" s="34">
        <f t="shared" ref="I500:P500" si="124">AVERAGE(I495:I499)</f>
        <v>0.11499999999999999</v>
      </c>
      <c r="J500" s="34">
        <f t="shared" si="124"/>
        <v>0.2</v>
      </c>
      <c r="K500" s="34">
        <f t="shared" si="124"/>
        <v>0.1336</v>
      </c>
      <c r="L500" s="34">
        <f t="shared" si="124"/>
        <v>0.19600000000000001</v>
      </c>
      <c r="M500" s="34">
        <f t="shared" si="124"/>
        <v>0.03</v>
      </c>
      <c r="N500" s="34">
        <f t="shared" si="124"/>
        <v>6.1399999999999996E-2</v>
      </c>
      <c r="O500" s="34">
        <f t="shared" si="124"/>
        <v>2.98E-2</v>
      </c>
      <c r="P500" s="34">
        <f t="shared" si="124"/>
        <v>6.7799999999999999E-2</v>
      </c>
    </row>
    <row r="501" spans="1:16" x14ac:dyDescent="0.2">
      <c r="A501" s="1"/>
      <c r="B501" s="104">
        <v>1.4</v>
      </c>
      <c r="C501" s="105"/>
      <c r="D501" s="28">
        <v>13</v>
      </c>
      <c r="E501" s="25">
        <v>69.540000000000006</v>
      </c>
      <c r="F501" s="25">
        <v>73.150000000000006</v>
      </c>
      <c r="G501" s="25">
        <v>681</v>
      </c>
      <c r="H501" s="31">
        <v>0.63400000000000001</v>
      </c>
      <c r="I501" s="36">
        <v>0.28399999999999997</v>
      </c>
      <c r="J501" s="36">
        <v>0.16400000000000001</v>
      </c>
      <c r="K501" s="36">
        <v>0.308</v>
      </c>
      <c r="L501" s="36">
        <v>0.17799999999999999</v>
      </c>
      <c r="M501" s="36">
        <v>4.9000000000000002E-2</v>
      </c>
      <c r="N501" s="36">
        <v>1.4E-2</v>
      </c>
      <c r="O501" s="36">
        <v>4.9000000000000002E-2</v>
      </c>
      <c r="P501" s="36">
        <v>1.4E-2</v>
      </c>
    </row>
    <row r="502" spans="1:16" x14ac:dyDescent="0.2">
      <c r="A502" s="1"/>
      <c r="B502" s="105"/>
      <c r="C502" s="105"/>
      <c r="D502" s="29">
        <v>21</v>
      </c>
      <c r="E502" s="4">
        <v>66.25</v>
      </c>
      <c r="F502" s="4">
        <v>71.78</v>
      </c>
      <c r="G502" s="1">
        <v>566</v>
      </c>
      <c r="H502" s="33">
        <v>0.69599999999999995</v>
      </c>
      <c r="I502" s="8">
        <v>0.94499999999999995</v>
      </c>
      <c r="J502" s="8">
        <v>0.80800000000000005</v>
      </c>
      <c r="K502" s="8">
        <v>0.94499999999999995</v>
      </c>
      <c r="L502" s="8">
        <v>0.80700000000000005</v>
      </c>
      <c r="M502" s="33">
        <v>3.7999999999999999E-2</v>
      </c>
      <c r="N502" s="33">
        <v>1.4E-2</v>
      </c>
      <c r="O502" s="8">
        <v>3.7999999999999999E-2</v>
      </c>
      <c r="P502" s="8">
        <v>1.4E-2</v>
      </c>
    </row>
    <row r="503" spans="1:16" x14ac:dyDescent="0.2">
      <c r="A503" s="1"/>
      <c r="B503" s="105"/>
      <c r="C503" s="105"/>
      <c r="D503" s="29">
        <v>47</v>
      </c>
      <c r="E503" s="4">
        <v>66.94</v>
      </c>
      <c r="F503" s="4">
        <v>72.45</v>
      </c>
      <c r="G503" s="1">
        <v>523</v>
      </c>
      <c r="H503" s="33">
        <v>0.7</v>
      </c>
      <c r="I503" s="8">
        <v>0.502</v>
      </c>
      <c r="J503" s="8">
        <v>0.63900000000000001</v>
      </c>
      <c r="K503" s="8">
        <v>0.76900000000000002</v>
      </c>
      <c r="L503" s="8">
        <v>0.81200000000000006</v>
      </c>
      <c r="M503" s="33">
        <v>0.02</v>
      </c>
      <c r="N503" s="33">
        <v>0.01</v>
      </c>
      <c r="O503" s="8">
        <v>0.02</v>
      </c>
      <c r="P503" s="8">
        <v>8.9999999999999993E-3</v>
      </c>
    </row>
    <row r="504" spans="1:16" x14ac:dyDescent="0.2">
      <c r="A504" s="1"/>
      <c r="B504" s="105"/>
      <c r="C504" s="105"/>
      <c r="D504" s="29">
        <v>50</v>
      </c>
      <c r="E504" s="4">
        <v>71.06</v>
      </c>
      <c r="F504" s="4">
        <v>73.61</v>
      </c>
      <c r="G504" s="1">
        <v>772</v>
      </c>
      <c r="H504" s="8">
        <v>0.59599999999999997</v>
      </c>
      <c r="I504" s="8">
        <v>0.16700000000000001</v>
      </c>
      <c r="J504" s="8">
        <v>0.20899999999999999</v>
      </c>
      <c r="K504" s="8">
        <v>0.16700000000000001</v>
      </c>
      <c r="L504" s="8">
        <v>0.20499999999999999</v>
      </c>
      <c r="M504" s="33">
        <v>4.1000000000000002E-2</v>
      </c>
      <c r="N504" s="33">
        <v>2.9000000000000001E-2</v>
      </c>
      <c r="O504" s="8">
        <v>4.1000000000000002E-2</v>
      </c>
      <c r="P504" s="8">
        <v>2.9000000000000001E-2</v>
      </c>
    </row>
    <row r="505" spans="1:16" x14ac:dyDescent="0.2">
      <c r="A505" s="1"/>
      <c r="B505" s="105"/>
      <c r="C505" s="105"/>
      <c r="D505" s="30">
        <v>91</v>
      </c>
      <c r="E505" s="27">
        <v>68.290000000000006</v>
      </c>
      <c r="F505" s="27">
        <v>72.760000000000005</v>
      </c>
      <c r="G505" s="26">
        <v>611</v>
      </c>
      <c r="H505" s="32">
        <v>0.66400000000000003</v>
      </c>
      <c r="I505" s="32">
        <v>0.52500000000000002</v>
      </c>
      <c r="J505" s="32">
        <v>0.67900000000000005</v>
      </c>
      <c r="K505" s="32">
        <v>0.34899999999999998</v>
      </c>
      <c r="L505" s="32">
        <v>0.441</v>
      </c>
      <c r="M505" s="52">
        <v>2.8000000000000001E-2</v>
      </c>
      <c r="N505" s="52">
        <v>7.6999999999999999E-2</v>
      </c>
      <c r="O505" s="32">
        <v>2.8000000000000001E-2</v>
      </c>
      <c r="P505" s="32">
        <v>8.2000000000000003E-2</v>
      </c>
    </row>
    <row r="506" spans="1:16" x14ac:dyDescent="0.2">
      <c r="A506" s="1"/>
      <c r="B506" s="106"/>
      <c r="C506" s="106"/>
      <c r="D506" s="6" t="s">
        <v>8</v>
      </c>
      <c r="E506" s="7">
        <f>AVERAGE(E501:E505)</f>
        <v>68.416000000000011</v>
      </c>
      <c r="F506" s="7">
        <f>AVERAGE(F501:F505)</f>
        <v>72.75</v>
      </c>
      <c r="G506" s="35">
        <f>AVERAGE(G501:G505)</f>
        <v>630.6</v>
      </c>
      <c r="H506" s="34">
        <f>AVERAGE(H501:H505)</f>
        <v>0.65800000000000014</v>
      </c>
      <c r="I506" s="34">
        <f t="shared" ref="I506:P506" si="125">AVERAGE(I501:I505)</f>
        <v>0.48460000000000003</v>
      </c>
      <c r="J506" s="34">
        <f t="shared" si="125"/>
        <v>0.49980000000000013</v>
      </c>
      <c r="K506" s="34">
        <f t="shared" si="125"/>
        <v>0.50759999999999983</v>
      </c>
      <c r="L506" s="34">
        <f t="shared" si="125"/>
        <v>0.48860000000000003</v>
      </c>
      <c r="M506" s="34">
        <f t="shared" si="125"/>
        <v>3.5199999999999995E-2</v>
      </c>
      <c r="N506" s="34">
        <f t="shared" si="125"/>
        <v>2.8800000000000003E-2</v>
      </c>
      <c r="O506" s="34">
        <f t="shared" si="125"/>
        <v>3.5199999999999995E-2</v>
      </c>
      <c r="P506" s="34">
        <f t="shared" si="125"/>
        <v>2.9600000000000005E-2</v>
      </c>
    </row>
    <row r="507" spans="1:16" x14ac:dyDescent="0.2">
      <c r="A507" s="1"/>
      <c r="B507" s="102">
        <v>1</v>
      </c>
      <c r="C507" s="104">
        <v>16</v>
      </c>
      <c r="D507" s="28">
        <v>13</v>
      </c>
      <c r="E507" s="25">
        <v>72.75</v>
      </c>
      <c r="F507" s="1">
        <v>71.06</v>
      </c>
      <c r="G507" s="25">
        <v>1323</v>
      </c>
      <c r="H507" s="31">
        <v>0.442</v>
      </c>
      <c r="I507" s="36">
        <v>2.8000000000000001E-2</v>
      </c>
      <c r="J507" s="36">
        <v>7.5999999999999998E-2</v>
      </c>
      <c r="K507" s="8">
        <v>4.5999999999999999E-2</v>
      </c>
      <c r="L507" s="36">
        <v>0.122</v>
      </c>
      <c r="M507" s="36">
        <v>1.0999999999999999E-2</v>
      </c>
      <c r="N507" s="36">
        <v>4.7E-2</v>
      </c>
      <c r="O507" s="36">
        <v>1.2E-2</v>
      </c>
      <c r="P507" s="36">
        <v>3.9E-2</v>
      </c>
    </row>
    <row r="508" spans="1:16" x14ac:dyDescent="0.2">
      <c r="A508" s="1"/>
      <c r="B508" s="103"/>
      <c r="C508" s="105"/>
      <c r="D508" s="29">
        <v>21</v>
      </c>
      <c r="E508" s="4">
        <v>72.56</v>
      </c>
      <c r="F508" s="4">
        <v>70.3</v>
      </c>
      <c r="G508" s="1">
        <v>1402</v>
      </c>
      <c r="H508" s="8">
        <v>0.42399999999999999</v>
      </c>
      <c r="I508" s="8">
        <v>3.3000000000000002E-2</v>
      </c>
      <c r="J508" s="8">
        <v>4.5999999999999999E-2</v>
      </c>
      <c r="K508" s="8">
        <v>5.8999999999999997E-2</v>
      </c>
      <c r="L508" s="8">
        <v>9.9000000000000005E-2</v>
      </c>
      <c r="M508" s="8">
        <v>1.2999999999999999E-2</v>
      </c>
      <c r="N508" s="8">
        <v>1.6E-2</v>
      </c>
      <c r="O508" s="8">
        <v>1.2E-2</v>
      </c>
      <c r="P508" s="8">
        <v>1.2E-2</v>
      </c>
    </row>
    <row r="509" spans="1:16" x14ac:dyDescent="0.2">
      <c r="A509" s="1"/>
      <c r="B509" s="103"/>
      <c r="C509" s="105"/>
      <c r="D509" s="29">
        <v>47</v>
      </c>
      <c r="E509" s="4">
        <v>72.680000000000007</v>
      </c>
      <c r="F509" s="4">
        <v>70.680000000000007</v>
      </c>
      <c r="G509" s="1">
        <v>1365</v>
      </c>
      <c r="H509" s="8">
        <v>0.432</v>
      </c>
      <c r="I509" s="8">
        <v>3.5999999999999997E-2</v>
      </c>
      <c r="J509" s="8">
        <v>5.0999999999999997E-2</v>
      </c>
      <c r="K509" s="8">
        <v>0.252</v>
      </c>
      <c r="L509" s="8">
        <v>6.6000000000000003E-2</v>
      </c>
      <c r="M509" s="8">
        <v>1.2E-2</v>
      </c>
      <c r="N509" s="8">
        <v>0.02</v>
      </c>
      <c r="O509" s="8">
        <v>1.4E-2</v>
      </c>
      <c r="P509" s="8">
        <v>3.5000000000000003E-2</v>
      </c>
    </row>
    <row r="510" spans="1:16" x14ac:dyDescent="0.2">
      <c r="A510" s="1"/>
      <c r="B510" s="103"/>
      <c r="C510" s="105"/>
      <c r="D510" s="29">
        <v>50</v>
      </c>
      <c r="E510" s="4">
        <v>72.56</v>
      </c>
      <c r="F510" s="4">
        <v>69.87</v>
      </c>
      <c r="G510" s="1">
        <v>1455</v>
      </c>
      <c r="H510" s="8">
        <v>0.41099999999999998</v>
      </c>
      <c r="I510" s="8">
        <v>6.5000000000000002E-2</v>
      </c>
      <c r="J510" s="8">
        <v>3.6999999999999998E-2</v>
      </c>
      <c r="K510" s="8">
        <v>6.9000000000000006E-2</v>
      </c>
      <c r="L510" s="8">
        <v>3.5999999999999997E-2</v>
      </c>
      <c r="M510" s="8">
        <v>2.8000000000000001E-2</v>
      </c>
      <c r="N510" s="8">
        <v>1.6E-2</v>
      </c>
      <c r="O510" s="8">
        <v>2.5999999999999999E-2</v>
      </c>
      <c r="P510" s="8">
        <v>1.4999999999999999E-2</v>
      </c>
    </row>
    <row r="511" spans="1:16" x14ac:dyDescent="0.2">
      <c r="A511" s="1"/>
      <c r="B511" s="103"/>
      <c r="C511" s="105"/>
      <c r="D511" s="30">
        <v>91</v>
      </c>
      <c r="E511" s="27">
        <v>72.5</v>
      </c>
      <c r="F511" s="27">
        <v>72.150000000000006</v>
      </c>
      <c r="G511" s="26">
        <v>1150</v>
      </c>
      <c r="H511" s="32">
        <v>0.48799999999999999</v>
      </c>
      <c r="I511" s="32">
        <v>6.2E-2</v>
      </c>
      <c r="J511" s="32">
        <v>4.8000000000000001E-2</v>
      </c>
      <c r="K511" s="32">
        <v>7.6999999999999999E-2</v>
      </c>
      <c r="L511" s="32">
        <v>5.5E-2</v>
      </c>
      <c r="M511" s="32">
        <v>2.1999999999999999E-2</v>
      </c>
      <c r="N511" s="32">
        <v>1.9E-2</v>
      </c>
      <c r="O511" s="32">
        <v>2.1999999999999999E-2</v>
      </c>
      <c r="P511" s="32">
        <v>2.3E-2</v>
      </c>
    </row>
    <row r="512" spans="1:16" x14ac:dyDescent="0.2">
      <c r="A512" s="1"/>
      <c r="B512" s="101"/>
      <c r="C512" s="105"/>
      <c r="D512" s="6" t="s">
        <v>8</v>
      </c>
      <c r="E512" s="7">
        <f>AVERAGE(E507:E511)</f>
        <v>72.61</v>
      </c>
      <c r="F512" s="7">
        <f>AVERAGE(F507:F511)</f>
        <v>70.812000000000012</v>
      </c>
      <c r="G512" s="35">
        <f>AVERAGE(G507:G511)</f>
        <v>1339</v>
      </c>
      <c r="H512" s="34">
        <f>AVERAGE(H507:H511)</f>
        <v>0.43940000000000001</v>
      </c>
      <c r="I512" s="34">
        <f t="shared" ref="I512:P512" si="126">AVERAGE(I507:I511)</f>
        <v>4.48E-2</v>
      </c>
      <c r="J512" s="34">
        <f t="shared" si="126"/>
        <v>5.16E-2</v>
      </c>
      <c r="K512" s="34">
        <f>AVERAGE(K507:K511)</f>
        <v>0.10059999999999999</v>
      </c>
      <c r="L512" s="34">
        <f t="shared" si="126"/>
        <v>7.5600000000000001E-2</v>
      </c>
      <c r="M512" s="34">
        <f t="shared" si="126"/>
        <v>1.72E-2</v>
      </c>
      <c r="N512" s="34">
        <f t="shared" si="126"/>
        <v>2.3600000000000003E-2</v>
      </c>
      <c r="O512" s="34">
        <f t="shared" si="126"/>
        <v>1.72E-2</v>
      </c>
      <c r="P512" s="34">
        <f t="shared" si="126"/>
        <v>2.4799999999999999E-2</v>
      </c>
    </row>
    <row r="513" spans="1:16" x14ac:dyDescent="0.2">
      <c r="A513" s="1"/>
      <c r="B513" s="104">
        <v>1.2</v>
      </c>
      <c r="C513" s="105"/>
      <c r="D513" s="28">
        <v>13</v>
      </c>
      <c r="E513" s="25">
        <v>72.95</v>
      </c>
      <c r="F513" s="25">
        <v>71.849999999999994</v>
      </c>
      <c r="G513" s="25">
        <v>1238</v>
      </c>
      <c r="H513" s="31">
        <v>0.46100000000000002</v>
      </c>
      <c r="I513" s="36">
        <v>5.5E-2</v>
      </c>
      <c r="J513" s="36">
        <v>0.13400000000000001</v>
      </c>
      <c r="K513" s="36">
        <v>6.3E-2</v>
      </c>
      <c r="L513" s="36">
        <v>0.13300000000000001</v>
      </c>
      <c r="M513" s="36">
        <v>1.4E-2</v>
      </c>
      <c r="N513" s="36">
        <v>4.2999999999999997E-2</v>
      </c>
      <c r="O513" s="36">
        <v>1.6E-2</v>
      </c>
      <c r="P513" s="36">
        <v>3.4000000000000002E-2</v>
      </c>
    </row>
    <row r="514" spans="1:16" x14ac:dyDescent="0.2">
      <c r="A514" s="1"/>
      <c r="B514" s="105"/>
      <c r="C514" s="105"/>
      <c r="D514" s="29">
        <v>21</v>
      </c>
      <c r="E514" s="4">
        <v>73.16</v>
      </c>
      <c r="F514" s="4">
        <v>72.42</v>
      </c>
      <c r="G514" s="1">
        <v>1181</v>
      </c>
      <c r="H514" s="8">
        <v>0.47299999999999998</v>
      </c>
      <c r="I514" s="8">
        <v>3.4000000000000002E-2</v>
      </c>
      <c r="J514" s="8">
        <v>0.08</v>
      </c>
      <c r="K514" s="8">
        <v>3.9E-2</v>
      </c>
      <c r="L514" s="8">
        <v>8.5000000000000006E-2</v>
      </c>
      <c r="M514" s="8">
        <v>0.01</v>
      </c>
      <c r="N514" s="8">
        <v>3.2000000000000001E-2</v>
      </c>
      <c r="O514" s="8">
        <v>1.0999999999999999E-2</v>
      </c>
      <c r="P514" s="8">
        <v>3.2000000000000001E-2</v>
      </c>
    </row>
    <row r="515" spans="1:16" x14ac:dyDescent="0.2">
      <c r="A515" s="1"/>
      <c r="B515" s="105"/>
      <c r="C515" s="105"/>
      <c r="D515" s="29">
        <v>47</v>
      </c>
      <c r="E515" s="4">
        <v>72.819999999999993</v>
      </c>
      <c r="F515" s="4">
        <v>71.5</v>
      </c>
      <c r="G515" s="1">
        <v>1273</v>
      </c>
      <c r="H515" s="8">
        <v>0.45400000000000001</v>
      </c>
      <c r="I515" s="8">
        <v>3.7999999999999999E-2</v>
      </c>
      <c r="J515" s="8">
        <v>7.5999999999999998E-2</v>
      </c>
      <c r="K515" s="8">
        <v>3.1E-2</v>
      </c>
      <c r="L515" s="8">
        <v>8.5999999999999993E-2</v>
      </c>
      <c r="M515" s="8">
        <v>0.01</v>
      </c>
      <c r="N515" s="8">
        <v>3.5999999999999997E-2</v>
      </c>
      <c r="O515" s="8">
        <v>0.01</v>
      </c>
      <c r="P515" s="8">
        <v>3.6999999999999998E-2</v>
      </c>
    </row>
    <row r="516" spans="1:16" x14ac:dyDescent="0.2">
      <c r="A516" s="1"/>
      <c r="B516" s="105"/>
      <c r="C516" s="105"/>
      <c r="D516" s="29">
        <v>50</v>
      </c>
      <c r="E516" s="4">
        <v>72.63</v>
      </c>
      <c r="F516" s="4">
        <v>71.290000000000006</v>
      </c>
      <c r="G516" s="1">
        <v>1281</v>
      </c>
      <c r="H516" s="8">
        <v>0.45400000000000001</v>
      </c>
      <c r="I516" s="8">
        <v>3.2000000000000001E-2</v>
      </c>
      <c r="J516" s="8">
        <v>8.5999999999999993E-2</v>
      </c>
      <c r="K516" s="8">
        <v>3.1E-2</v>
      </c>
      <c r="L516" s="8">
        <v>7.8E-2</v>
      </c>
      <c r="M516" s="8">
        <v>0.01</v>
      </c>
      <c r="N516" s="8">
        <v>2.5000000000000001E-2</v>
      </c>
      <c r="O516" s="8">
        <v>8.9999999999999993E-3</v>
      </c>
      <c r="P516" s="8">
        <v>2.3E-2</v>
      </c>
    </row>
    <row r="517" spans="1:16" x14ac:dyDescent="0.2">
      <c r="A517" s="1"/>
      <c r="B517" s="105"/>
      <c r="C517" s="105"/>
      <c r="D517" s="30">
        <v>91</v>
      </c>
      <c r="E517" s="27">
        <v>72.23</v>
      </c>
      <c r="F517" s="27">
        <v>71.959999999999994</v>
      </c>
      <c r="G517" s="26">
        <v>1149</v>
      </c>
      <c r="H517" s="32">
        <v>0.49099999999999999</v>
      </c>
      <c r="I517" s="32">
        <v>2.9000000000000001E-2</v>
      </c>
      <c r="J517" s="32">
        <v>4.2000000000000003E-2</v>
      </c>
      <c r="K517" s="32">
        <v>0.04</v>
      </c>
      <c r="L517" s="32">
        <v>5.0999999999999997E-2</v>
      </c>
      <c r="M517" s="32">
        <v>8.9999999999999993E-3</v>
      </c>
      <c r="N517" s="32">
        <v>1.2E-2</v>
      </c>
      <c r="O517" s="32">
        <v>8.9999999999999993E-3</v>
      </c>
      <c r="P517" s="32">
        <v>1.0999999999999999E-2</v>
      </c>
    </row>
    <row r="518" spans="1:16" x14ac:dyDescent="0.2">
      <c r="A518" s="1"/>
      <c r="B518" s="106"/>
      <c r="C518" s="105"/>
      <c r="D518" s="6" t="s">
        <v>8</v>
      </c>
      <c r="E518" s="7">
        <f>AVERAGE(E513:E517)</f>
        <v>72.75800000000001</v>
      </c>
      <c r="F518" s="7">
        <f>AVERAGE(F513:F517)</f>
        <v>71.804000000000002</v>
      </c>
      <c r="G518" s="35">
        <f>AVERAGE(G513:G517)</f>
        <v>1224.4000000000001</v>
      </c>
      <c r="H518" s="34">
        <f>AVERAGE(H513:H517)</f>
        <v>0.46659999999999996</v>
      </c>
      <c r="I518" s="34">
        <f t="shared" ref="I518:P518" si="127">AVERAGE(I513:I517)</f>
        <v>3.7600000000000001E-2</v>
      </c>
      <c r="J518" s="34">
        <f t="shared" si="127"/>
        <v>8.3599999999999994E-2</v>
      </c>
      <c r="K518" s="34">
        <f t="shared" si="127"/>
        <v>4.0800000000000003E-2</v>
      </c>
      <c r="L518" s="34">
        <f t="shared" si="127"/>
        <v>8.660000000000001E-2</v>
      </c>
      <c r="M518" s="34">
        <f t="shared" si="127"/>
        <v>1.0600000000000002E-2</v>
      </c>
      <c r="N518" s="34">
        <f t="shared" si="127"/>
        <v>2.9599999999999998E-2</v>
      </c>
      <c r="O518" s="34">
        <f t="shared" si="127"/>
        <v>1.0999999999999999E-2</v>
      </c>
      <c r="P518" s="34">
        <f t="shared" si="127"/>
        <v>2.7400000000000001E-2</v>
      </c>
    </row>
    <row r="519" spans="1:16" x14ac:dyDescent="0.2">
      <c r="A519" s="1"/>
      <c r="B519" s="104">
        <v>1.4</v>
      </c>
      <c r="C519" s="105"/>
      <c r="D519" s="28">
        <v>13</v>
      </c>
      <c r="E519" s="25">
        <v>69.349999999999994</v>
      </c>
      <c r="F519" s="25">
        <v>73.42</v>
      </c>
      <c r="G519" s="25">
        <v>614</v>
      </c>
      <c r="H519" s="31">
        <v>0.65300000000000002</v>
      </c>
      <c r="I519" s="36">
        <v>0.104</v>
      </c>
      <c r="J519" s="36">
        <v>0.11</v>
      </c>
      <c r="K519" s="36">
        <v>6.3E-2</v>
      </c>
      <c r="L519" s="36">
        <v>8.8999999999999996E-2</v>
      </c>
      <c r="M519" s="36">
        <v>1.6E-2</v>
      </c>
      <c r="N519" s="36">
        <v>0.01</v>
      </c>
      <c r="O519" s="36">
        <v>1.4999999999999999E-2</v>
      </c>
      <c r="P519" s="36">
        <v>1.6E-2</v>
      </c>
    </row>
    <row r="520" spans="1:16" x14ac:dyDescent="0.2">
      <c r="A520" s="1"/>
      <c r="B520" s="105"/>
      <c r="C520" s="105"/>
      <c r="D520" s="29">
        <v>21</v>
      </c>
      <c r="E520" s="4">
        <v>64.209999999999994</v>
      </c>
      <c r="F520" s="4">
        <v>71.48</v>
      </c>
      <c r="G520" s="1">
        <v>413</v>
      </c>
      <c r="H520" s="33">
        <v>0.755</v>
      </c>
      <c r="I520" s="8">
        <v>1</v>
      </c>
      <c r="J520" s="8">
        <v>1</v>
      </c>
      <c r="K520" s="8">
        <v>0.33300000000000002</v>
      </c>
      <c r="L520" s="8">
        <v>0.28699999999999998</v>
      </c>
      <c r="M520" s="8">
        <v>1.2999999999999999E-2</v>
      </c>
      <c r="N520" s="8">
        <v>8.6999999999999994E-2</v>
      </c>
      <c r="O520" s="8">
        <v>7.0000000000000001E-3</v>
      </c>
      <c r="P520" s="8">
        <v>6.2E-2</v>
      </c>
    </row>
    <row r="521" spans="1:16" x14ac:dyDescent="0.2">
      <c r="A521" s="1"/>
      <c r="B521" s="105"/>
      <c r="C521" s="105"/>
      <c r="D521" s="29">
        <v>47</v>
      </c>
      <c r="E521" s="4">
        <v>66.75</v>
      </c>
      <c r="F521" s="4">
        <v>72.459999999999994</v>
      </c>
      <c r="G521" s="1">
        <v>500</v>
      </c>
      <c r="H521" s="8">
        <v>0.70799999999999996</v>
      </c>
      <c r="I521" s="8">
        <v>0.72899999999999998</v>
      </c>
      <c r="J521" s="8">
        <v>0.65200000000000002</v>
      </c>
      <c r="K521" s="8">
        <v>1</v>
      </c>
      <c r="L521" s="8">
        <v>0.98</v>
      </c>
      <c r="M521" s="8">
        <v>1.4999999999999999E-2</v>
      </c>
      <c r="N521" s="8">
        <v>6.0000000000000001E-3</v>
      </c>
      <c r="O521" s="8">
        <v>1.4E-2</v>
      </c>
      <c r="P521" s="8">
        <v>6.0000000000000001E-3</v>
      </c>
    </row>
    <row r="522" spans="1:16" x14ac:dyDescent="0.2">
      <c r="A522" s="1"/>
      <c r="B522" s="105"/>
      <c r="C522" s="105"/>
      <c r="D522" s="29">
        <v>50</v>
      </c>
      <c r="E522" s="4">
        <v>68.66</v>
      </c>
      <c r="F522" s="4">
        <v>73.099999999999994</v>
      </c>
      <c r="G522" s="1">
        <v>594</v>
      </c>
      <c r="H522" s="8">
        <v>0.66500000000000004</v>
      </c>
      <c r="I522" s="8">
        <v>0.11799999999999999</v>
      </c>
      <c r="J522" s="8">
        <v>0.245</v>
      </c>
      <c r="K522" s="8">
        <v>0.49399999999999999</v>
      </c>
      <c r="L522" s="8">
        <v>0.85299999999999998</v>
      </c>
      <c r="M522" s="8">
        <v>7.0000000000000001E-3</v>
      </c>
      <c r="N522" s="8">
        <v>8.9999999999999993E-3</v>
      </c>
      <c r="O522" s="8">
        <v>1.0999999999999999E-2</v>
      </c>
      <c r="P522" s="8">
        <v>1.0999999999999999E-2</v>
      </c>
    </row>
    <row r="523" spans="1:16" x14ac:dyDescent="0.2">
      <c r="A523" s="1"/>
      <c r="B523" s="105"/>
      <c r="C523" s="105"/>
      <c r="D523" s="30">
        <v>91</v>
      </c>
      <c r="E523" s="27">
        <v>72.349999999999994</v>
      </c>
      <c r="F523" s="27">
        <v>72.8</v>
      </c>
      <c r="G523" s="26">
        <v>1040</v>
      </c>
      <c r="H523" s="32">
        <v>0.51700000000000002</v>
      </c>
      <c r="I523" s="32">
        <v>4.4999999999999998E-2</v>
      </c>
      <c r="J523" s="32">
        <v>5.8999999999999997E-2</v>
      </c>
      <c r="K523" s="32">
        <v>5.0999999999999997E-2</v>
      </c>
      <c r="L523" s="32">
        <v>7.0999999999999994E-2</v>
      </c>
      <c r="M523" s="32">
        <v>8.0000000000000002E-3</v>
      </c>
      <c r="N523" s="32">
        <v>1.4E-2</v>
      </c>
      <c r="O523" s="32">
        <v>0.01</v>
      </c>
      <c r="P523" s="32">
        <v>0.01</v>
      </c>
    </row>
    <row r="524" spans="1:16" x14ac:dyDescent="0.2">
      <c r="A524" s="1"/>
      <c r="B524" s="106"/>
      <c r="C524" s="106"/>
      <c r="D524" s="6" t="s">
        <v>8</v>
      </c>
      <c r="E524" s="7">
        <f>AVERAGE(E519:E523)</f>
        <v>68.26400000000001</v>
      </c>
      <c r="F524" s="7">
        <f>AVERAGE(F519:F523)</f>
        <v>72.652000000000015</v>
      </c>
      <c r="G524" s="35">
        <f>AVERAGE(G519:G523)</f>
        <v>632.20000000000005</v>
      </c>
      <c r="H524" s="34">
        <f>AVERAGE(H519:H523)</f>
        <v>0.65959999999999996</v>
      </c>
      <c r="I524" s="34">
        <f t="shared" ref="I524:P524" si="128">AVERAGE(I519:I523)</f>
        <v>0.3992</v>
      </c>
      <c r="J524" s="34">
        <f t="shared" si="128"/>
        <v>0.41320000000000007</v>
      </c>
      <c r="K524" s="34">
        <f t="shared" si="128"/>
        <v>0.38819999999999999</v>
      </c>
      <c r="L524" s="34">
        <f t="shared" si="128"/>
        <v>0.45599999999999996</v>
      </c>
      <c r="M524" s="34">
        <f t="shared" si="128"/>
        <v>1.18E-2</v>
      </c>
      <c r="N524" s="34">
        <f t="shared" si="128"/>
        <v>2.52E-2</v>
      </c>
      <c r="O524" s="34">
        <f t="shared" si="128"/>
        <v>1.14E-2</v>
      </c>
      <c r="P524" s="34">
        <f t="shared" si="128"/>
        <v>2.0999999999999998E-2</v>
      </c>
    </row>
  </sheetData>
  <mergeCells count="216">
    <mergeCell ref="O445:P445"/>
    <mergeCell ref="M487:N487"/>
    <mergeCell ref="O487:P487"/>
    <mergeCell ref="I444:L444"/>
    <mergeCell ref="M444:P444"/>
    <mergeCell ref="I486:L486"/>
    <mergeCell ref="M486:P486"/>
    <mergeCell ref="K487:L487"/>
    <mergeCell ref="K445:L445"/>
    <mergeCell ref="I445:J445"/>
    <mergeCell ref="C487:H487"/>
    <mergeCell ref="I487:J487"/>
    <mergeCell ref="B487:B488"/>
    <mergeCell ref="B489:B494"/>
    <mergeCell ref="C489:C506"/>
    <mergeCell ref="B495:B500"/>
    <mergeCell ref="B501:B506"/>
    <mergeCell ref="M445:N445"/>
    <mergeCell ref="B507:B512"/>
    <mergeCell ref="C507:C524"/>
    <mergeCell ref="B513:B518"/>
    <mergeCell ref="B519:B524"/>
    <mergeCell ref="B445:B446"/>
    <mergeCell ref="B447:B452"/>
    <mergeCell ref="C447:C464"/>
    <mergeCell ref="B453:B458"/>
    <mergeCell ref="B459:B464"/>
    <mergeCell ref="B465:B470"/>
    <mergeCell ref="C465:C482"/>
    <mergeCell ref="B471:B476"/>
    <mergeCell ref="B477:B482"/>
    <mergeCell ref="C445:H445"/>
    <mergeCell ref="B339:G339"/>
    <mergeCell ref="H339:M339"/>
    <mergeCell ref="N339:S339"/>
    <mergeCell ref="B341:B346"/>
    <mergeCell ref="H341:H346"/>
    <mergeCell ref="N341:N346"/>
    <mergeCell ref="B347:B352"/>
    <mergeCell ref="H347:H352"/>
    <mergeCell ref="N347:N352"/>
    <mergeCell ref="A298:A299"/>
    <mergeCell ref="B298:G298"/>
    <mergeCell ref="H298:M298"/>
    <mergeCell ref="N298:S298"/>
    <mergeCell ref="A300:A305"/>
    <mergeCell ref="B300:B335"/>
    <mergeCell ref="H300:H335"/>
    <mergeCell ref="N300:N335"/>
    <mergeCell ref="A306:A311"/>
    <mergeCell ref="A312:A317"/>
    <mergeCell ref="A318:A323"/>
    <mergeCell ref="A324:A329"/>
    <mergeCell ref="A330:A335"/>
    <mergeCell ref="A258:A259"/>
    <mergeCell ref="B258:G258"/>
    <mergeCell ref="H258:M258"/>
    <mergeCell ref="N258:S258"/>
    <mergeCell ref="A260:A265"/>
    <mergeCell ref="B260:B295"/>
    <mergeCell ref="H260:H295"/>
    <mergeCell ref="N260:N295"/>
    <mergeCell ref="A266:A271"/>
    <mergeCell ref="A272:A277"/>
    <mergeCell ref="A278:A283"/>
    <mergeCell ref="A284:A289"/>
    <mergeCell ref="A290:A295"/>
    <mergeCell ref="B250:B255"/>
    <mergeCell ref="H250:H255"/>
    <mergeCell ref="N250:N255"/>
    <mergeCell ref="B242:G242"/>
    <mergeCell ref="B244:B249"/>
    <mergeCell ref="H242:M242"/>
    <mergeCell ref="H244:H249"/>
    <mergeCell ref="N242:S242"/>
    <mergeCell ref="N244:N249"/>
    <mergeCell ref="A201:A202"/>
    <mergeCell ref="B201:G201"/>
    <mergeCell ref="H201:M201"/>
    <mergeCell ref="N201:S201"/>
    <mergeCell ref="A203:A208"/>
    <mergeCell ref="B203:B238"/>
    <mergeCell ref="H203:H238"/>
    <mergeCell ref="N203:N238"/>
    <mergeCell ref="A209:A214"/>
    <mergeCell ref="A215:A220"/>
    <mergeCell ref="A221:A226"/>
    <mergeCell ref="A227:A232"/>
    <mergeCell ref="A233:A238"/>
    <mergeCell ref="B85:B90"/>
    <mergeCell ref="G85:G90"/>
    <mergeCell ref="L85:L90"/>
    <mergeCell ref="A161:A162"/>
    <mergeCell ref="B161:G161"/>
    <mergeCell ref="H161:M161"/>
    <mergeCell ref="N161:S161"/>
    <mergeCell ref="A163:A168"/>
    <mergeCell ref="B163:B198"/>
    <mergeCell ref="H163:H198"/>
    <mergeCell ref="N163:N198"/>
    <mergeCell ref="A169:A174"/>
    <mergeCell ref="A175:A180"/>
    <mergeCell ref="A181:A186"/>
    <mergeCell ref="A187:A192"/>
    <mergeCell ref="A193:A198"/>
    <mergeCell ref="J136:J141"/>
    <mergeCell ref="B128:E128"/>
    <mergeCell ref="F128:I128"/>
    <mergeCell ref="B130:B135"/>
    <mergeCell ref="F130:F135"/>
    <mergeCell ref="B136:B141"/>
    <mergeCell ref="F136:F141"/>
    <mergeCell ref="J128:M128"/>
    <mergeCell ref="B73:B78"/>
    <mergeCell ref="G73:G78"/>
    <mergeCell ref="L73:L78"/>
    <mergeCell ref="B112:B117"/>
    <mergeCell ref="G112:G117"/>
    <mergeCell ref="B118:B123"/>
    <mergeCell ref="G118:G123"/>
    <mergeCell ref="L112:L117"/>
    <mergeCell ref="B98:F98"/>
    <mergeCell ref="G98:K98"/>
    <mergeCell ref="L98:P98"/>
    <mergeCell ref="B100:B105"/>
    <mergeCell ref="G100:G105"/>
    <mergeCell ref="L100:L105"/>
    <mergeCell ref="B106:B111"/>
    <mergeCell ref="G106:G111"/>
    <mergeCell ref="L106:L111"/>
    <mergeCell ref="B91:B96"/>
    <mergeCell ref="G91:G96"/>
    <mergeCell ref="L91:L96"/>
    <mergeCell ref="N91:P95"/>
    <mergeCell ref="B79:B84"/>
    <mergeCell ref="G79:G84"/>
    <mergeCell ref="L79:L84"/>
    <mergeCell ref="G22:G27"/>
    <mergeCell ref="L22:L27"/>
    <mergeCell ref="B38:F38"/>
    <mergeCell ref="G38:K38"/>
    <mergeCell ref="L38:P38"/>
    <mergeCell ref="B40:B45"/>
    <mergeCell ref="G40:G45"/>
    <mergeCell ref="L40:L45"/>
    <mergeCell ref="B71:F71"/>
    <mergeCell ref="G71:K71"/>
    <mergeCell ref="L71:P71"/>
    <mergeCell ref="B58:B63"/>
    <mergeCell ref="G58:G63"/>
    <mergeCell ref="L58:L63"/>
    <mergeCell ref="N22:P26"/>
    <mergeCell ref="N58:P62"/>
    <mergeCell ref="B46:B51"/>
    <mergeCell ref="G46:G51"/>
    <mergeCell ref="L46:L51"/>
    <mergeCell ref="B52:B57"/>
    <mergeCell ref="G52:G57"/>
    <mergeCell ref="L52:L57"/>
    <mergeCell ref="B22:B27"/>
    <mergeCell ref="B16:B21"/>
    <mergeCell ref="G16:G21"/>
    <mergeCell ref="L2:P2"/>
    <mergeCell ref="B4:B9"/>
    <mergeCell ref="G4:G9"/>
    <mergeCell ref="L4:L9"/>
    <mergeCell ref="B10:B15"/>
    <mergeCell ref="G10:G15"/>
    <mergeCell ref="L10:L15"/>
    <mergeCell ref="B2:F2"/>
    <mergeCell ref="G2:K2"/>
    <mergeCell ref="L16:L21"/>
    <mergeCell ref="J130:J135"/>
    <mergeCell ref="B152:B157"/>
    <mergeCell ref="F152:F157"/>
    <mergeCell ref="J152:J157"/>
    <mergeCell ref="B144:E144"/>
    <mergeCell ref="F144:I144"/>
    <mergeCell ref="J144:M144"/>
    <mergeCell ref="B146:B151"/>
    <mergeCell ref="F146:F151"/>
    <mergeCell ref="J146:J151"/>
    <mergeCell ref="B358:B359"/>
    <mergeCell ref="C358:H358"/>
    <mergeCell ref="I358:L358"/>
    <mergeCell ref="M358:P358"/>
    <mergeCell ref="Q358:T358"/>
    <mergeCell ref="U358:X358"/>
    <mergeCell ref="B360:B365"/>
    <mergeCell ref="C360:C377"/>
    <mergeCell ref="B366:B371"/>
    <mergeCell ref="B372:B377"/>
    <mergeCell ref="B420:B425"/>
    <mergeCell ref="C420:C437"/>
    <mergeCell ref="B426:B431"/>
    <mergeCell ref="B432:B437"/>
    <mergeCell ref="Y358:AB358"/>
    <mergeCell ref="AC358:AF358"/>
    <mergeCell ref="AG358:AJ358"/>
    <mergeCell ref="I400:L400"/>
    <mergeCell ref="M400:P400"/>
    <mergeCell ref="Q400:T400"/>
    <mergeCell ref="U400:X400"/>
    <mergeCell ref="Y400:AB400"/>
    <mergeCell ref="AC400:AF400"/>
    <mergeCell ref="AG400:AJ400"/>
    <mergeCell ref="B378:B383"/>
    <mergeCell ref="C378:C395"/>
    <mergeCell ref="B384:B389"/>
    <mergeCell ref="B390:B395"/>
    <mergeCell ref="B400:B401"/>
    <mergeCell ref="C400:H400"/>
    <mergeCell ref="B402:B407"/>
    <mergeCell ref="C402:C419"/>
    <mergeCell ref="B408:B413"/>
    <mergeCell ref="B414:B4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795B-2711-4C2B-9AC6-A4C87FF317F1}">
  <dimension ref="A2:AO524"/>
  <sheetViews>
    <sheetView tabSelected="1" topLeftCell="U366" workbookViewId="0">
      <selection activeCell="AQ376" sqref="AQ376"/>
    </sheetView>
  </sheetViews>
  <sheetFormatPr baseColWidth="10" defaultColWidth="8.83203125" defaultRowHeight="15" x14ac:dyDescent="0.2"/>
  <cols>
    <col min="1" max="1" width="24.1640625" bestFit="1" customWidth="1"/>
    <col min="2" max="2" width="8.33203125" bestFit="1" customWidth="1"/>
    <col min="3" max="3" width="31.5" bestFit="1" customWidth="1"/>
    <col min="4" max="4" width="18.6640625" bestFit="1" customWidth="1"/>
    <col min="5" max="5" width="16.5" bestFit="1" customWidth="1"/>
    <col min="6" max="6" width="12.5" bestFit="1" customWidth="1"/>
    <col min="7" max="7" width="16.33203125" bestFit="1" customWidth="1"/>
    <col min="8" max="8" width="21.6640625" bestFit="1" customWidth="1"/>
    <col min="9" max="9" width="16.5" bestFit="1" customWidth="1"/>
    <col min="10" max="10" width="16.33203125" bestFit="1" customWidth="1"/>
    <col min="11" max="11" width="26.5" bestFit="1" customWidth="1"/>
    <col min="12" max="12" width="9.33203125" bestFit="1" customWidth="1"/>
    <col min="13" max="13" width="21.6640625" bestFit="1" customWidth="1"/>
    <col min="14" max="16" width="16.33203125" bestFit="1" customWidth="1"/>
    <col min="17" max="17" width="16.5" bestFit="1" customWidth="1"/>
    <col min="18" max="18" width="9" bestFit="1" customWidth="1"/>
    <col min="19" max="19" width="21.6640625" bestFit="1" customWidth="1"/>
    <col min="20" max="20" width="16.33203125" bestFit="1" customWidth="1"/>
    <col min="21" max="21" width="16.5" bestFit="1" customWidth="1"/>
    <col min="22" max="22" width="8.5" bestFit="1" customWidth="1"/>
    <col min="23" max="23" width="5.5" bestFit="1" customWidth="1"/>
    <col min="24" max="24" width="9.33203125" bestFit="1" customWidth="1"/>
    <col min="25" max="25" width="16.5" bestFit="1" customWidth="1"/>
    <col min="26" max="26" width="8.5" bestFit="1" customWidth="1"/>
    <col min="27" max="27" width="5.5" bestFit="1" customWidth="1"/>
    <col min="28" max="28" width="9.33203125" bestFit="1" customWidth="1"/>
    <col min="29" max="29" width="16.5" bestFit="1" customWidth="1"/>
    <col min="30" max="30" width="8.5" bestFit="1" customWidth="1"/>
    <col min="31" max="31" width="10.33203125" bestFit="1" customWidth="1"/>
    <col min="32" max="32" width="9.33203125" bestFit="1" customWidth="1"/>
    <col min="33" max="33" width="16.5" bestFit="1" customWidth="1"/>
    <col min="34" max="34" width="8.5" bestFit="1" customWidth="1"/>
    <col min="35" max="35" width="5.5" bestFit="1" customWidth="1"/>
    <col min="36" max="36" width="9.33203125" bestFit="1" customWidth="1"/>
    <col min="38" max="38" width="5.6640625" bestFit="1" customWidth="1"/>
    <col min="39" max="40" width="13" bestFit="1" customWidth="1"/>
    <col min="41" max="41" width="5.6640625" bestFit="1" customWidth="1"/>
  </cols>
  <sheetData>
    <row r="2" spans="1:31" x14ac:dyDescent="0.2">
      <c r="A2" s="108" t="s">
        <v>0</v>
      </c>
      <c r="B2" s="108"/>
      <c r="C2" s="108"/>
      <c r="D2" s="108"/>
      <c r="E2" s="111"/>
      <c r="F2" s="108" t="s">
        <v>1</v>
      </c>
      <c r="G2" s="108"/>
      <c r="H2" s="108"/>
      <c r="I2" s="108"/>
      <c r="J2" s="111"/>
      <c r="K2" s="108" t="s">
        <v>2</v>
      </c>
      <c r="L2" s="108"/>
      <c r="M2" s="108"/>
      <c r="N2" s="108"/>
      <c r="O2" s="111"/>
      <c r="Q2" s="108" t="s">
        <v>50</v>
      </c>
      <c r="R2" s="108"/>
      <c r="S2" s="108"/>
      <c r="T2" s="108"/>
      <c r="U2" s="111"/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</row>
    <row r="3" spans="1:31" x14ac:dyDescent="0.2">
      <c r="A3" s="3" t="s">
        <v>3</v>
      </c>
      <c r="B3" s="3" t="s">
        <v>4</v>
      </c>
      <c r="C3" s="3" t="s">
        <v>5</v>
      </c>
      <c r="D3" s="3" t="s">
        <v>6</v>
      </c>
      <c r="E3" s="12" t="s">
        <v>7</v>
      </c>
      <c r="F3" s="3" t="s">
        <v>3</v>
      </c>
      <c r="G3" s="3" t="s">
        <v>4</v>
      </c>
      <c r="H3" s="3" t="s">
        <v>5</v>
      </c>
      <c r="I3" s="3" t="s">
        <v>6</v>
      </c>
      <c r="J3" s="12" t="s">
        <v>7</v>
      </c>
      <c r="K3" s="3" t="s">
        <v>3</v>
      </c>
      <c r="L3" s="3" t="s">
        <v>4</v>
      </c>
      <c r="M3" s="3" t="s">
        <v>5</v>
      </c>
      <c r="N3" s="3" t="s">
        <v>6</v>
      </c>
      <c r="O3" s="12" t="s">
        <v>7</v>
      </c>
      <c r="Q3" s="3" t="s">
        <v>3</v>
      </c>
      <c r="R3" s="3" t="s">
        <v>4</v>
      </c>
      <c r="S3" s="3" t="s">
        <v>5</v>
      </c>
      <c r="T3" s="3" t="s">
        <v>6</v>
      </c>
      <c r="U3" s="12" t="s">
        <v>7</v>
      </c>
    </row>
    <row r="4" spans="1:31" x14ac:dyDescent="0.2">
      <c r="A4" s="109">
        <v>8</v>
      </c>
      <c r="B4" s="1">
        <v>13</v>
      </c>
      <c r="C4" s="1">
        <v>71.91</v>
      </c>
      <c r="D4" s="1">
        <v>71.930000000000007</v>
      </c>
      <c r="E4" s="8">
        <v>72.548000000000002</v>
      </c>
      <c r="F4" s="109">
        <v>8</v>
      </c>
      <c r="G4" s="1">
        <v>13</v>
      </c>
      <c r="H4" s="1">
        <v>71.38</v>
      </c>
      <c r="I4" s="1">
        <v>71.319999999999993</v>
      </c>
      <c r="J4" s="8">
        <v>73.424999999999997</v>
      </c>
      <c r="K4" s="109">
        <v>8</v>
      </c>
      <c r="L4" s="1">
        <v>13</v>
      </c>
      <c r="M4" s="1">
        <v>71.02</v>
      </c>
      <c r="N4" s="1">
        <v>70.91</v>
      </c>
      <c r="O4" s="8">
        <v>71.837000000000003</v>
      </c>
      <c r="Q4" s="109">
        <v>8</v>
      </c>
      <c r="R4" s="1">
        <v>13</v>
      </c>
      <c r="S4" s="1">
        <v>71.989999999999995</v>
      </c>
      <c r="T4" s="1">
        <v>72.2</v>
      </c>
      <c r="U4" s="8">
        <v>72.06</v>
      </c>
      <c r="X4">
        <v>71.97</v>
      </c>
      <c r="Y4">
        <v>71.92</v>
      </c>
      <c r="Z4">
        <v>72.010000000000005</v>
      </c>
      <c r="AA4">
        <v>71.84</v>
      </c>
      <c r="AB4">
        <v>72.84</v>
      </c>
      <c r="AC4">
        <v>72.180000000000007</v>
      </c>
      <c r="AD4">
        <v>71.400000000000006</v>
      </c>
      <c r="AE4">
        <v>73.13</v>
      </c>
    </row>
    <row r="5" spans="1:31" x14ac:dyDescent="0.2">
      <c r="A5" s="109"/>
      <c r="B5" s="1">
        <v>21</v>
      </c>
      <c r="C5" s="4">
        <v>70.930000000000007</v>
      </c>
      <c r="D5" s="4">
        <v>71.760000000000005</v>
      </c>
      <c r="E5" s="9">
        <v>73.231999999999999</v>
      </c>
      <c r="F5" s="109"/>
      <c r="G5" s="1">
        <v>21</v>
      </c>
      <c r="H5" s="4">
        <v>71.3</v>
      </c>
      <c r="I5" s="4">
        <v>71.81</v>
      </c>
      <c r="J5" s="9">
        <v>73.828000000000003</v>
      </c>
      <c r="K5" s="109"/>
      <c r="L5" s="1">
        <v>21</v>
      </c>
      <c r="M5" s="4">
        <v>68.77</v>
      </c>
      <c r="N5" s="4">
        <v>69.239999999999995</v>
      </c>
      <c r="O5" s="9">
        <v>71.680999999999997</v>
      </c>
      <c r="Q5" s="109"/>
      <c r="R5" s="1">
        <v>21</v>
      </c>
      <c r="S5" s="4">
        <v>69.290000000000006</v>
      </c>
      <c r="T5" s="4">
        <v>69.86</v>
      </c>
      <c r="U5" s="9">
        <v>68.239000000000004</v>
      </c>
      <c r="X5">
        <v>72.459999999999994</v>
      </c>
      <c r="Y5">
        <v>72.58</v>
      </c>
      <c r="Z5">
        <v>72.31</v>
      </c>
      <c r="AA5">
        <v>72.180000000000007</v>
      </c>
      <c r="AB5">
        <v>71.930000000000007</v>
      </c>
      <c r="AC5">
        <v>71.64</v>
      </c>
      <c r="AD5">
        <v>70.7</v>
      </c>
      <c r="AE5">
        <v>71.400000000000006</v>
      </c>
    </row>
    <row r="6" spans="1:31" x14ac:dyDescent="0.2">
      <c r="A6" s="109"/>
      <c r="B6" s="1">
        <v>47</v>
      </c>
      <c r="C6" s="4">
        <v>70.91</v>
      </c>
      <c r="D6" s="4">
        <v>71.900000000000006</v>
      </c>
      <c r="E6" s="9">
        <v>72.489000000000004</v>
      </c>
      <c r="F6" s="109"/>
      <c r="G6" s="1">
        <v>47</v>
      </c>
      <c r="H6" s="4">
        <v>70.69</v>
      </c>
      <c r="I6" s="4">
        <v>71.28</v>
      </c>
      <c r="J6" s="9">
        <v>72.165000000000006</v>
      </c>
      <c r="K6" s="109"/>
      <c r="L6" s="1">
        <v>47</v>
      </c>
      <c r="M6" s="4">
        <v>64.84</v>
      </c>
      <c r="N6" s="4">
        <v>66</v>
      </c>
      <c r="O6" s="9">
        <v>67.906000000000006</v>
      </c>
      <c r="Q6" s="109"/>
      <c r="R6" s="1">
        <v>47</v>
      </c>
      <c r="S6" s="4">
        <v>70.94</v>
      </c>
      <c r="T6" s="4">
        <v>71.38</v>
      </c>
      <c r="U6" s="9">
        <v>69.86</v>
      </c>
      <c r="X6">
        <v>72.03</v>
      </c>
      <c r="Y6">
        <v>72.36</v>
      </c>
      <c r="Z6">
        <v>72.33</v>
      </c>
      <c r="AA6">
        <v>72.55</v>
      </c>
      <c r="AB6">
        <v>72.3</v>
      </c>
      <c r="AC6">
        <v>71.33</v>
      </c>
      <c r="AD6">
        <v>70.040000000000006</v>
      </c>
      <c r="AE6">
        <v>71.77</v>
      </c>
    </row>
    <row r="7" spans="1:31" x14ac:dyDescent="0.2">
      <c r="A7" s="109"/>
      <c r="B7" s="1">
        <v>50</v>
      </c>
      <c r="C7" s="4">
        <v>71.41</v>
      </c>
      <c r="D7" s="4">
        <v>71.94</v>
      </c>
      <c r="E7" s="9">
        <v>73.853999999999999</v>
      </c>
      <c r="F7" s="109"/>
      <c r="G7" s="1">
        <v>50</v>
      </c>
      <c r="H7" s="4">
        <v>71.03</v>
      </c>
      <c r="I7" s="4">
        <v>71.349999999999994</v>
      </c>
      <c r="J7" s="9">
        <v>72.623000000000005</v>
      </c>
      <c r="K7" s="109"/>
      <c r="L7" s="1">
        <v>50</v>
      </c>
      <c r="M7" s="4">
        <v>70.319999999999993</v>
      </c>
      <c r="N7" s="4">
        <v>70.650000000000006</v>
      </c>
      <c r="O7" s="9">
        <v>72.474999999999994</v>
      </c>
      <c r="Q7" s="109"/>
      <c r="R7" s="1">
        <v>50</v>
      </c>
      <c r="S7" s="4">
        <v>71.92</v>
      </c>
      <c r="T7" s="4">
        <v>71.959999999999994</v>
      </c>
      <c r="U7" s="9">
        <v>70.820999999999998</v>
      </c>
      <c r="X7">
        <v>72.209999999999994</v>
      </c>
      <c r="Y7">
        <v>72.28</v>
      </c>
      <c r="Z7">
        <v>72.37</v>
      </c>
      <c r="AA7">
        <v>72.69</v>
      </c>
      <c r="AB7">
        <v>72.72</v>
      </c>
      <c r="AC7">
        <v>71.61</v>
      </c>
      <c r="AD7">
        <v>70.349999999999994</v>
      </c>
      <c r="AE7">
        <v>71.38</v>
      </c>
    </row>
    <row r="8" spans="1:31" x14ac:dyDescent="0.2">
      <c r="A8" s="109"/>
      <c r="B8" s="2">
        <v>91</v>
      </c>
      <c r="C8" s="5">
        <v>69.48</v>
      </c>
      <c r="D8" s="5">
        <v>69.819999999999993</v>
      </c>
      <c r="E8" s="10">
        <v>70.248000000000005</v>
      </c>
      <c r="F8" s="109"/>
      <c r="G8" s="2">
        <v>91</v>
      </c>
      <c r="H8" s="5">
        <v>69.930000000000007</v>
      </c>
      <c r="I8" s="5">
        <v>70.22</v>
      </c>
      <c r="J8" s="10">
        <v>70.643000000000001</v>
      </c>
      <c r="K8" s="109"/>
      <c r="L8" s="2">
        <v>91</v>
      </c>
      <c r="M8" s="5">
        <v>69.31</v>
      </c>
      <c r="N8" s="5">
        <v>69.17</v>
      </c>
      <c r="O8" s="10">
        <v>68.893000000000001</v>
      </c>
      <c r="Q8" s="109"/>
      <c r="R8" s="2">
        <v>91</v>
      </c>
      <c r="S8" s="5">
        <v>72.25</v>
      </c>
      <c r="T8" s="5">
        <v>72.02</v>
      </c>
      <c r="U8" s="10">
        <v>72.308999999999997</v>
      </c>
      <c r="X8">
        <v>70.47</v>
      </c>
      <c r="Y8">
        <v>70.59</v>
      </c>
      <c r="Z8">
        <v>70.430000000000007</v>
      </c>
      <c r="AA8">
        <v>70.41</v>
      </c>
      <c r="AB8">
        <v>70.33</v>
      </c>
      <c r="AC8">
        <v>70.02</v>
      </c>
      <c r="AD8">
        <v>68.39</v>
      </c>
      <c r="AE8">
        <v>69.91</v>
      </c>
    </row>
    <row r="9" spans="1:31" x14ac:dyDescent="0.2">
      <c r="A9" s="110"/>
      <c r="B9" s="6" t="s">
        <v>8</v>
      </c>
      <c r="C9" s="7">
        <f>AVERAGE(C4:C8)</f>
        <v>70.927999999999997</v>
      </c>
      <c r="D9" s="7">
        <f t="shared" ref="D9" si="0">AVERAGE(D4:D8)</f>
        <v>71.47</v>
      </c>
      <c r="E9" s="11">
        <f>AVERAGE(E4:E8)</f>
        <v>72.474199999999996</v>
      </c>
      <c r="F9" s="110"/>
      <c r="G9" s="6" t="s">
        <v>8</v>
      </c>
      <c r="H9" s="7">
        <f>AVERAGE(H4:H8)</f>
        <v>70.866</v>
      </c>
      <c r="I9" s="7">
        <f t="shared" ref="I9:J9" si="1">AVERAGE(I4:I8)</f>
        <v>71.195999999999998</v>
      </c>
      <c r="J9" s="11">
        <f t="shared" si="1"/>
        <v>72.536799999999999</v>
      </c>
      <c r="K9" s="110"/>
      <c r="L9" s="6" t="s">
        <v>8</v>
      </c>
      <c r="M9" s="7">
        <f>AVERAGE(M4:M8)</f>
        <v>68.852000000000004</v>
      </c>
      <c r="N9" s="7">
        <f t="shared" ref="N9:O9" si="2">AVERAGE(N4:N8)</f>
        <v>69.193999999999988</v>
      </c>
      <c r="O9" s="11">
        <f t="shared" si="2"/>
        <v>70.558400000000006</v>
      </c>
      <c r="Q9" s="110"/>
      <c r="R9" s="6" t="s">
        <v>8</v>
      </c>
      <c r="S9" s="7">
        <f>AVERAGE(S4:S8)</f>
        <v>71.277999999999992</v>
      </c>
      <c r="T9" s="7">
        <f>AVERAGE(T4:T8)</f>
        <v>71.483999999999995</v>
      </c>
      <c r="U9" s="11">
        <f>AVERAGE(U4:U8)</f>
        <v>70.657799999999995</v>
      </c>
      <c r="X9" s="89">
        <f>AVERAGE(X4:X8)</f>
        <v>71.828000000000003</v>
      </c>
      <c r="Y9" s="89">
        <f>AVERAGE(Y4:Y8)</f>
        <v>71.945999999999998</v>
      </c>
      <c r="Z9" s="89">
        <f>AVERAGE(Z4:Z8)</f>
        <v>71.89</v>
      </c>
      <c r="AA9" s="89">
        <f t="shared" ref="AA9:AE9" si="3">AVERAGE(AA4:AA8)</f>
        <v>71.933999999999997</v>
      </c>
      <c r="AB9" s="89">
        <f t="shared" si="3"/>
        <v>72.023999999999987</v>
      </c>
      <c r="AC9" s="89">
        <f t="shared" si="3"/>
        <v>71.355999999999995</v>
      </c>
      <c r="AD9" s="89">
        <f t="shared" si="3"/>
        <v>70.176000000000002</v>
      </c>
      <c r="AE9" s="89">
        <f t="shared" si="3"/>
        <v>71.518000000000001</v>
      </c>
    </row>
    <row r="10" spans="1:31" x14ac:dyDescent="0.2">
      <c r="A10" s="109">
        <v>16</v>
      </c>
      <c r="B10" s="1">
        <v>13</v>
      </c>
      <c r="C10" s="4">
        <v>75.14</v>
      </c>
      <c r="D10" s="4">
        <v>75.63</v>
      </c>
      <c r="E10" s="9">
        <v>75.807000000000002</v>
      </c>
      <c r="F10" s="109">
        <v>16</v>
      </c>
      <c r="G10" s="1">
        <v>13</v>
      </c>
      <c r="H10" s="4">
        <v>78.680000000000007</v>
      </c>
      <c r="I10" s="4">
        <v>76.959999999999994</v>
      </c>
      <c r="J10" s="9">
        <v>79.061999999999998</v>
      </c>
      <c r="K10" s="109">
        <v>16</v>
      </c>
      <c r="L10" s="1">
        <v>13</v>
      </c>
      <c r="M10" s="4">
        <v>82.25</v>
      </c>
      <c r="N10" s="4">
        <v>82.47</v>
      </c>
      <c r="O10" s="9">
        <v>82.959000000000003</v>
      </c>
    </row>
    <row r="11" spans="1:31" x14ac:dyDescent="0.2">
      <c r="A11" s="109"/>
      <c r="B11" s="1">
        <v>21</v>
      </c>
      <c r="C11" s="4">
        <v>74.319999999999993</v>
      </c>
      <c r="D11" s="4">
        <v>75.709999999999994</v>
      </c>
      <c r="E11" s="9">
        <v>75.966999999999999</v>
      </c>
      <c r="F11" s="109"/>
      <c r="G11" s="1">
        <v>21</v>
      </c>
      <c r="H11" s="4">
        <v>78.010000000000005</v>
      </c>
      <c r="I11" s="4">
        <v>77.430000000000007</v>
      </c>
      <c r="J11" s="9">
        <v>79.076999999999998</v>
      </c>
      <c r="K11" s="109"/>
      <c r="L11" s="1">
        <v>21</v>
      </c>
      <c r="M11" s="4">
        <v>82.42</v>
      </c>
      <c r="N11" s="4">
        <v>81.849999999999994</v>
      </c>
      <c r="O11" s="9">
        <v>81.855000000000004</v>
      </c>
    </row>
    <row r="12" spans="1:31" x14ac:dyDescent="0.2">
      <c r="A12" s="109"/>
      <c r="B12" s="1">
        <v>47</v>
      </c>
      <c r="C12" s="4">
        <v>73.959999999999994</v>
      </c>
      <c r="D12" s="4">
        <v>75.260000000000005</v>
      </c>
      <c r="E12" s="9">
        <v>76.165999999999997</v>
      </c>
      <c r="F12" s="109"/>
      <c r="G12" s="1">
        <v>47</v>
      </c>
      <c r="H12" s="4">
        <v>77.069999999999993</v>
      </c>
      <c r="I12" s="4">
        <v>78.3</v>
      </c>
      <c r="J12" s="9">
        <v>78.480999999999995</v>
      </c>
      <c r="K12" s="109"/>
      <c r="L12" s="1">
        <v>47</v>
      </c>
      <c r="M12" s="4">
        <v>81.84</v>
      </c>
      <c r="N12" s="4">
        <v>81.91</v>
      </c>
      <c r="O12" s="9">
        <v>81.89</v>
      </c>
    </row>
    <row r="13" spans="1:31" x14ac:dyDescent="0.2">
      <c r="A13" s="109"/>
      <c r="B13" s="1">
        <v>50</v>
      </c>
      <c r="C13" s="4">
        <v>74.84</v>
      </c>
      <c r="D13" s="4">
        <v>75.36</v>
      </c>
      <c r="E13" s="9">
        <v>76.754999999999995</v>
      </c>
      <c r="F13" s="109"/>
      <c r="G13" s="1">
        <v>50</v>
      </c>
      <c r="H13" s="4">
        <v>77.209999999999994</v>
      </c>
      <c r="I13" s="4">
        <v>78.349999999999994</v>
      </c>
      <c r="J13" s="9">
        <v>79.111999999999995</v>
      </c>
      <c r="K13" s="109"/>
      <c r="L13" s="1">
        <v>50</v>
      </c>
      <c r="M13" s="4">
        <v>79.59</v>
      </c>
      <c r="N13" s="4">
        <v>80.010000000000005</v>
      </c>
      <c r="O13" s="9">
        <v>80.510999999999996</v>
      </c>
    </row>
    <row r="14" spans="1:31" x14ac:dyDescent="0.2">
      <c r="A14" s="109"/>
      <c r="B14" s="2">
        <v>91</v>
      </c>
      <c r="C14" s="5">
        <v>73.95</v>
      </c>
      <c r="D14" s="5">
        <v>74.34</v>
      </c>
      <c r="E14" s="10">
        <v>75.384</v>
      </c>
      <c r="F14" s="109"/>
      <c r="G14" s="2">
        <v>91</v>
      </c>
      <c r="H14" s="5">
        <v>77.790000000000006</v>
      </c>
      <c r="I14" s="5">
        <v>78.63</v>
      </c>
      <c r="J14" s="10">
        <v>79.039000000000001</v>
      </c>
      <c r="K14" s="109"/>
      <c r="L14" s="2">
        <v>91</v>
      </c>
      <c r="M14" s="5">
        <v>77.98</v>
      </c>
      <c r="N14" s="5">
        <v>78.849999999999994</v>
      </c>
      <c r="O14" s="10">
        <v>79.739000000000004</v>
      </c>
    </row>
    <row r="15" spans="1:31" x14ac:dyDescent="0.2">
      <c r="A15" s="110"/>
      <c r="B15" s="6" t="s">
        <v>8</v>
      </c>
      <c r="C15" s="7">
        <f>AVERAGE(C10:C14)</f>
        <v>74.441999999999993</v>
      </c>
      <c r="D15" s="7">
        <f t="shared" ref="D15:E15" si="4">AVERAGE(D10:D14)</f>
        <v>75.259999999999991</v>
      </c>
      <c r="E15" s="11">
        <f t="shared" si="4"/>
        <v>76.015799999999999</v>
      </c>
      <c r="F15" s="110"/>
      <c r="G15" s="6" t="s">
        <v>8</v>
      </c>
      <c r="H15" s="7">
        <f>AVERAGE(H10:H14)</f>
        <v>77.751999999999995</v>
      </c>
      <c r="I15" s="7">
        <f t="shared" ref="I15:J15" si="5">AVERAGE(I10:I14)</f>
        <v>77.933999999999997</v>
      </c>
      <c r="J15" s="11">
        <f t="shared" si="5"/>
        <v>78.954199999999986</v>
      </c>
      <c r="K15" s="110"/>
      <c r="L15" s="6" t="s">
        <v>8</v>
      </c>
      <c r="M15" s="7">
        <f>AVERAGE(M10:M14)</f>
        <v>80.816000000000003</v>
      </c>
      <c r="N15" s="7">
        <f>AVERAGE(N10:N14)</f>
        <v>81.018000000000001</v>
      </c>
      <c r="O15" s="11">
        <f>AVERAGE(O10:O14)</f>
        <v>81.390800000000013</v>
      </c>
    </row>
    <row r="16" spans="1:31" x14ac:dyDescent="0.2">
      <c r="A16" s="109">
        <v>32</v>
      </c>
      <c r="B16" s="1">
        <v>13</v>
      </c>
      <c r="C16" s="4">
        <v>77.040000000000006</v>
      </c>
      <c r="D16" s="4">
        <v>77.290000000000006</v>
      </c>
      <c r="E16" s="9">
        <v>77.751000000000005</v>
      </c>
      <c r="F16" s="109">
        <v>32</v>
      </c>
      <c r="G16" s="1">
        <v>13</v>
      </c>
      <c r="H16" s="4">
        <v>80.8</v>
      </c>
      <c r="I16" s="4">
        <v>80.98</v>
      </c>
      <c r="J16" s="9">
        <v>82.296999999999997</v>
      </c>
      <c r="K16" s="109">
        <v>32</v>
      </c>
      <c r="L16" s="1">
        <v>13</v>
      </c>
      <c r="M16" s="4">
        <v>88.72</v>
      </c>
      <c r="N16" s="4">
        <v>88.61</v>
      </c>
      <c r="O16" s="9">
        <v>88.460999999999999</v>
      </c>
    </row>
    <row r="17" spans="1:15" x14ac:dyDescent="0.2">
      <c r="A17" s="109"/>
      <c r="B17" s="1">
        <v>21</v>
      </c>
      <c r="C17" s="4">
        <v>76.510000000000005</v>
      </c>
      <c r="D17" s="4">
        <v>76.84</v>
      </c>
      <c r="E17" s="9">
        <v>77.897000000000006</v>
      </c>
      <c r="F17" s="109"/>
      <c r="G17" s="1">
        <v>21</v>
      </c>
      <c r="H17" s="4">
        <v>85.15</v>
      </c>
      <c r="I17" s="4">
        <v>83.29</v>
      </c>
      <c r="J17" s="9">
        <v>82.661000000000001</v>
      </c>
      <c r="K17" s="109"/>
      <c r="L17" s="1">
        <v>21</v>
      </c>
      <c r="M17" s="4">
        <v>89.42</v>
      </c>
      <c r="N17" s="4">
        <v>88.78</v>
      </c>
      <c r="O17" s="9">
        <v>88.506</v>
      </c>
    </row>
    <row r="18" spans="1:15" x14ac:dyDescent="0.2">
      <c r="A18" s="109"/>
      <c r="B18" s="1">
        <v>47</v>
      </c>
      <c r="C18" s="4">
        <v>75.92</v>
      </c>
      <c r="D18" s="4">
        <v>77.45</v>
      </c>
      <c r="E18" s="9">
        <v>77.572999999999993</v>
      </c>
      <c r="F18" s="109"/>
      <c r="G18" s="1">
        <v>47</v>
      </c>
      <c r="H18" s="4">
        <v>82.27</v>
      </c>
      <c r="I18" s="4">
        <v>82.52</v>
      </c>
      <c r="J18" s="9">
        <v>82.6</v>
      </c>
      <c r="K18" s="109"/>
      <c r="L18" s="1">
        <v>47</v>
      </c>
      <c r="M18" s="4">
        <v>89.51</v>
      </c>
      <c r="N18" s="4">
        <v>89.16</v>
      </c>
      <c r="O18" s="9">
        <v>88.835999999999999</v>
      </c>
    </row>
    <row r="19" spans="1:15" x14ac:dyDescent="0.2">
      <c r="A19" s="109"/>
      <c r="B19" s="1">
        <v>50</v>
      </c>
      <c r="C19" s="4">
        <v>76.72</v>
      </c>
      <c r="D19" s="4">
        <v>77.09</v>
      </c>
      <c r="E19" s="9">
        <v>77.989999999999995</v>
      </c>
      <c r="F19" s="109"/>
      <c r="G19" s="1">
        <v>50</v>
      </c>
      <c r="H19" s="4">
        <v>83.13</v>
      </c>
      <c r="I19" s="4">
        <v>83.5</v>
      </c>
      <c r="J19" s="9">
        <v>83.974000000000004</v>
      </c>
      <c r="K19" s="109"/>
      <c r="L19" s="1">
        <v>50</v>
      </c>
      <c r="M19" s="4">
        <v>87.84</v>
      </c>
      <c r="N19" s="4">
        <v>87.89</v>
      </c>
      <c r="O19" s="9">
        <v>87.334000000000003</v>
      </c>
    </row>
    <row r="20" spans="1:15" x14ac:dyDescent="0.2">
      <c r="A20" s="109"/>
      <c r="B20" s="2">
        <v>91</v>
      </c>
      <c r="C20" s="5">
        <v>76.75</v>
      </c>
      <c r="D20" s="5">
        <v>77.150000000000006</v>
      </c>
      <c r="E20" s="10">
        <v>78.338999999999999</v>
      </c>
      <c r="F20" s="109"/>
      <c r="G20" s="2">
        <v>91</v>
      </c>
      <c r="H20" s="5">
        <v>82.61</v>
      </c>
      <c r="I20" s="5">
        <v>82.45</v>
      </c>
      <c r="J20" s="10">
        <v>83.63</v>
      </c>
      <c r="K20" s="109"/>
      <c r="L20" s="2">
        <v>91</v>
      </c>
      <c r="M20" s="5">
        <v>87.39</v>
      </c>
      <c r="N20" s="5">
        <v>87.35</v>
      </c>
      <c r="O20" s="10">
        <v>87.495999999999995</v>
      </c>
    </row>
    <row r="21" spans="1:15" x14ac:dyDescent="0.2">
      <c r="A21" s="110"/>
      <c r="B21" s="6" t="s">
        <v>8</v>
      </c>
      <c r="C21" s="7">
        <f>AVERAGE(C16:C20)</f>
        <v>76.588000000000008</v>
      </c>
      <c r="D21" s="7">
        <f t="shared" ref="D21:E21" si="6">AVERAGE(D16:D20)</f>
        <v>77.163999999999987</v>
      </c>
      <c r="E21" s="11">
        <f t="shared" si="6"/>
        <v>77.91</v>
      </c>
      <c r="F21" s="110"/>
      <c r="G21" s="6" t="s">
        <v>8</v>
      </c>
      <c r="H21" s="7">
        <f>AVERAGE(H16:H20)</f>
        <v>82.792000000000002</v>
      </c>
      <c r="I21" s="7">
        <f>AVERAGE(I16:I20)</f>
        <v>82.548000000000002</v>
      </c>
      <c r="J21" s="11">
        <f>AVERAGE(J16:J20)</f>
        <v>83.032399999999996</v>
      </c>
      <c r="K21" s="110"/>
      <c r="L21" s="6" t="s">
        <v>8</v>
      </c>
      <c r="M21" s="7">
        <f>AVERAGE(M16:M20)</f>
        <v>88.575999999999993</v>
      </c>
      <c r="N21" s="7">
        <f>AVERAGE(N16:N20)</f>
        <v>88.35799999999999</v>
      </c>
      <c r="O21" s="11">
        <f>AVERAGE(O16:O20)</f>
        <v>88.126599999999996</v>
      </c>
    </row>
    <row r="22" spans="1:15" x14ac:dyDescent="0.2">
      <c r="A22" s="109">
        <v>64</v>
      </c>
      <c r="B22" s="1">
        <v>13</v>
      </c>
      <c r="C22" s="4">
        <v>76.959999999999994</v>
      </c>
      <c r="D22" s="4">
        <v>77.13</v>
      </c>
      <c r="E22" s="9">
        <v>78.691999999999993</v>
      </c>
      <c r="F22" s="109">
        <v>64</v>
      </c>
      <c r="G22" s="1">
        <v>13</v>
      </c>
      <c r="H22" s="4">
        <v>88.98</v>
      </c>
      <c r="I22" s="4">
        <v>87.5</v>
      </c>
      <c r="J22" s="9">
        <v>87.435000000000002</v>
      </c>
      <c r="K22" s="109">
        <v>64</v>
      </c>
      <c r="L22" s="1">
        <v>13</v>
      </c>
      <c r="M22" s="112"/>
      <c r="N22" s="113"/>
      <c r="O22" s="114"/>
    </row>
    <row r="23" spans="1:15" x14ac:dyDescent="0.2">
      <c r="A23" s="109"/>
      <c r="B23" s="1">
        <v>21</v>
      </c>
      <c r="C23" s="4">
        <v>76.92</v>
      </c>
      <c r="D23" s="4">
        <v>77.34</v>
      </c>
      <c r="E23" s="9">
        <v>78.406999999999996</v>
      </c>
      <c r="F23" s="109"/>
      <c r="G23" s="1">
        <v>21</v>
      </c>
      <c r="H23" s="4">
        <v>85.45</v>
      </c>
      <c r="I23" s="4">
        <v>85.16</v>
      </c>
      <c r="J23" s="9">
        <v>85.281000000000006</v>
      </c>
      <c r="K23" s="109"/>
      <c r="L23" s="1">
        <v>21</v>
      </c>
      <c r="M23" s="115"/>
      <c r="N23" s="115"/>
      <c r="O23" s="116"/>
    </row>
    <row r="24" spans="1:15" x14ac:dyDescent="0.2">
      <c r="A24" s="109"/>
      <c r="B24" s="1">
        <v>47</v>
      </c>
      <c r="C24" s="4">
        <v>76.400000000000006</v>
      </c>
      <c r="D24" s="4">
        <v>77.5</v>
      </c>
      <c r="E24" s="9">
        <v>78.331999999999994</v>
      </c>
      <c r="F24" s="109"/>
      <c r="G24" s="1">
        <v>47</v>
      </c>
      <c r="H24" s="4">
        <v>83.29</v>
      </c>
      <c r="I24" s="4">
        <v>83.79</v>
      </c>
      <c r="J24" s="9">
        <v>83.361999999999995</v>
      </c>
      <c r="K24" s="109"/>
      <c r="L24" s="1">
        <v>47</v>
      </c>
      <c r="M24" s="115"/>
      <c r="N24" s="115"/>
      <c r="O24" s="116"/>
    </row>
    <row r="25" spans="1:15" x14ac:dyDescent="0.2">
      <c r="A25" s="109"/>
      <c r="B25" s="1">
        <v>50</v>
      </c>
      <c r="C25" s="4">
        <v>77.09</v>
      </c>
      <c r="D25" s="4">
        <v>77.599999999999994</v>
      </c>
      <c r="E25" s="9">
        <v>78.581000000000003</v>
      </c>
      <c r="F25" s="109"/>
      <c r="G25" s="1">
        <v>50</v>
      </c>
      <c r="H25" s="4">
        <v>85.59</v>
      </c>
      <c r="I25" s="4">
        <v>85.26</v>
      </c>
      <c r="J25" s="9">
        <v>85.010999999999996</v>
      </c>
      <c r="K25" s="109"/>
      <c r="L25" s="1">
        <v>50</v>
      </c>
      <c r="M25" s="115"/>
      <c r="N25" s="115"/>
      <c r="O25" s="116"/>
    </row>
    <row r="26" spans="1:15" x14ac:dyDescent="0.2">
      <c r="A26" s="109"/>
      <c r="B26" s="2">
        <v>91</v>
      </c>
      <c r="C26" s="5">
        <v>76.849999999999994</v>
      </c>
      <c r="D26" s="5">
        <v>77.38</v>
      </c>
      <c r="E26" s="10">
        <v>79.052000000000007</v>
      </c>
      <c r="F26" s="109"/>
      <c r="G26" s="2">
        <v>91</v>
      </c>
      <c r="H26" s="5">
        <v>87.89</v>
      </c>
      <c r="I26" s="5">
        <v>87.73</v>
      </c>
      <c r="J26" s="10">
        <v>87.335999999999999</v>
      </c>
      <c r="K26" s="109"/>
      <c r="L26" s="2">
        <v>91</v>
      </c>
      <c r="M26" s="117"/>
      <c r="N26" s="117"/>
      <c r="O26" s="118"/>
    </row>
    <row r="27" spans="1:15" x14ac:dyDescent="0.2">
      <c r="A27" s="110"/>
      <c r="B27" s="6" t="s">
        <v>8</v>
      </c>
      <c r="C27" s="7">
        <f>AVERAGE(C22:C26)</f>
        <v>76.844000000000008</v>
      </c>
      <c r="D27" s="7">
        <f>AVERAGE(D22:D26)</f>
        <v>77.39</v>
      </c>
      <c r="E27" s="11">
        <f>AVERAGE(E22:E26)</f>
        <v>78.612800000000007</v>
      </c>
      <c r="F27" s="110"/>
      <c r="G27" s="6" t="s">
        <v>8</v>
      </c>
      <c r="H27" s="7">
        <f>AVERAGE(H22:H26)</f>
        <v>86.240000000000009</v>
      </c>
      <c r="I27" s="7">
        <f>AVERAGE(I22:I26)</f>
        <v>85.888000000000005</v>
      </c>
      <c r="J27" s="11">
        <f>AVERAGE(J22:J26)</f>
        <v>85.684999999999988</v>
      </c>
      <c r="K27" s="110"/>
      <c r="L27" s="6" t="s">
        <v>8</v>
      </c>
      <c r="M27" s="7" t="e">
        <f>AVERAGE(M22:M26)</f>
        <v>#DIV/0!</v>
      </c>
      <c r="N27" s="7" t="e">
        <f t="shared" ref="N27:O27" si="7">AVERAGE(N22:N26)</f>
        <v>#DIV/0!</v>
      </c>
      <c r="O27" s="11" t="e">
        <f t="shared" si="7"/>
        <v>#DIV/0!</v>
      </c>
    </row>
    <row r="28" spans="1:15" x14ac:dyDescent="0.2">
      <c r="D28" s="84">
        <f>D27-D9</f>
        <v>5.9200000000000017</v>
      </c>
      <c r="E28" s="84">
        <f>E27-E9</f>
        <v>6.1386000000000109</v>
      </c>
    </row>
    <row r="30" spans="1:15" x14ac:dyDescent="0.2">
      <c r="C30" s="15" t="s">
        <v>3</v>
      </c>
      <c r="D30" s="14" t="s">
        <v>10</v>
      </c>
      <c r="E30" s="14" t="s">
        <v>11</v>
      </c>
      <c r="F30" s="13" t="s">
        <v>12</v>
      </c>
      <c r="G30" s="13" t="s">
        <v>13</v>
      </c>
      <c r="H30" s="1"/>
      <c r="I30" s="1"/>
      <c r="J30" s="1"/>
      <c r="K30" s="1"/>
      <c r="L30" s="1"/>
      <c r="M30" s="1"/>
    </row>
    <row r="31" spans="1:15" x14ac:dyDescent="0.2">
      <c r="C31" s="16">
        <v>8</v>
      </c>
      <c r="D31" s="1">
        <f>(C31*C31 + 10*C31 - 32)/8</f>
        <v>14</v>
      </c>
      <c r="E31" s="1">
        <f>D31*2</f>
        <v>28</v>
      </c>
      <c r="F31" s="8">
        <f>D31*3</f>
        <v>42</v>
      </c>
      <c r="G31" s="8"/>
      <c r="H31" s="1"/>
      <c r="I31" s="20"/>
      <c r="J31" s="1"/>
      <c r="K31" s="1"/>
      <c r="L31" s="1"/>
      <c r="M31" s="1"/>
    </row>
    <row r="32" spans="1:15" x14ac:dyDescent="0.2">
      <c r="C32" s="16">
        <v>16</v>
      </c>
      <c r="D32" s="1">
        <f t="shared" ref="D32" si="8">(C32*C32 + 10*C32 - 32)/8</f>
        <v>48</v>
      </c>
      <c r="E32" s="1">
        <f t="shared" ref="E32:E34" si="9">D32*2</f>
        <v>96</v>
      </c>
      <c r="F32" s="8">
        <f t="shared" ref="F32:F34" si="10">D32*3</f>
        <v>144</v>
      </c>
      <c r="G32" s="8"/>
      <c r="H32" s="1"/>
      <c r="I32" s="1"/>
      <c r="J32" s="1"/>
      <c r="K32" s="1"/>
      <c r="L32" s="1"/>
      <c r="M32" s="1"/>
    </row>
    <row r="33" spans="1:15" x14ac:dyDescent="0.2">
      <c r="C33" s="16">
        <v>32</v>
      </c>
      <c r="D33" s="1">
        <f>(C33*C33 + 10*C33 - 32)/8</f>
        <v>164</v>
      </c>
      <c r="E33" s="1">
        <f t="shared" si="9"/>
        <v>328</v>
      </c>
      <c r="F33" s="8">
        <f t="shared" si="10"/>
        <v>492</v>
      </c>
      <c r="G33" s="8"/>
      <c r="H33" s="128" t="s">
        <v>59</v>
      </c>
      <c r="I33" s="123"/>
      <c r="J33" s="123"/>
      <c r="K33" s="123"/>
      <c r="L33" s="123"/>
      <c r="M33" s="1"/>
    </row>
    <row r="34" spans="1:15" x14ac:dyDescent="0.2">
      <c r="C34" s="17">
        <v>64</v>
      </c>
      <c r="D34" s="3">
        <f>(C34*C34 + 10*C34 - 32)/8</f>
        <v>588</v>
      </c>
      <c r="E34" s="3">
        <f t="shared" si="9"/>
        <v>1176</v>
      </c>
      <c r="F34" s="12">
        <f t="shared" si="10"/>
        <v>1764</v>
      </c>
      <c r="G34" s="12"/>
      <c r="H34" s="3"/>
      <c r="I34" s="1"/>
      <c r="J34" s="1"/>
      <c r="K34" s="1"/>
      <c r="L34" s="1"/>
      <c r="M34" s="1"/>
    </row>
    <row r="37" spans="1:15" x14ac:dyDescent="0.2">
      <c r="A37" s="108" t="s">
        <v>15</v>
      </c>
      <c r="B37" s="108"/>
      <c r="C37" s="108"/>
      <c r="D37" s="108"/>
      <c r="E37" s="111"/>
      <c r="F37" s="108" t="s">
        <v>16</v>
      </c>
      <c r="G37" s="108"/>
      <c r="H37" s="108"/>
      <c r="I37" s="108"/>
      <c r="J37" s="111"/>
      <c r="K37" s="108" t="s">
        <v>17</v>
      </c>
      <c r="L37" s="108"/>
      <c r="M37" s="108"/>
      <c r="N37" s="108"/>
      <c r="O37" s="111"/>
    </row>
    <row r="38" spans="1:15" x14ac:dyDescent="0.2">
      <c r="A38" s="3" t="s">
        <v>3</v>
      </c>
      <c r="B38" s="3" t="s">
        <v>4</v>
      </c>
      <c r="C38" s="3" t="s">
        <v>5</v>
      </c>
      <c r="D38" s="3" t="s">
        <v>6</v>
      </c>
      <c r="E38" s="12" t="s">
        <v>7</v>
      </c>
      <c r="F38" s="3" t="s">
        <v>3</v>
      </c>
      <c r="G38" s="3" t="s">
        <v>4</v>
      </c>
      <c r="H38" s="3" t="s">
        <v>5</v>
      </c>
      <c r="I38" s="3" t="s">
        <v>6</v>
      </c>
      <c r="J38" s="12" t="s">
        <v>7</v>
      </c>
      <c r="K38" s="3" t="s">
        <v>3</v>
      </c>
      <c r="L38" s="3" t="s">
        <v>4</v>
      </c>
      <c r="M38" s="3" t="s">
        <v>5</v>
      </c>
      <c r="N38" s="3" t="s">
        <v>6</v>
      </c>
      <c r="O38" s="12" t="s">
        <v>7</v>
      </c>
    </row>
    <row r="39" spans="1:15" x14ac:dyDescent="0.2">
      <c r="A39" s="109">
        <v>8</v>
      </c>
      <c r="B39" s="1">
        <v>13</v>
      </c>
      <c r="C39" s="1">
        <v>72.78</v>
      </c>
      <c r="D39" s="1">
        <v>73.16</v>
      </c>
      <c r="E39" s="8">
        <v>72.177999999999997</v>
      </c>
      <c r="F39" s="109">
        <v>8</v>
      </c>
      <c r="G39" s="1">
        <v>13</v>
      </c>
      <c r="H39" s="21">
        <v>72.41</v>
      </c>
      <c r="I39" s="21">
        <v>73.040000000000006</v>
      </c>
      <c r="J39" s="22">
        <v>72.063000000000002</v>
      </c>
      <c r="K39" s="109">
        <v>8</v>
      </c>
      <c r="L39" s="1">
        <v>13</v>
      </c>
      <c r="M39" s="1">
        <v>76.11</v>
      </c>
      <c r="N39" s="1">
        <v>76.09</v>
      </c>
      <c r="O39" s="8">
        <v>74.531000000000006</v>
      </c>
    </row>
    <row r="40" spans="1:15" x14ac:dyDescent="0.2">
      <c r="A40" s="109"/>
      <c r="B40" s="1">
        <v>21</v>
      </c>
      <c r="C40" s="4">
        <v>70.05</v>
      </c>
      <c r="D40" s="4">
        <v>70.62</v>
      </c>
      <c r="E40" s="9">
        <v>67.930999999999997</v>
      </c>
      <c r="F40" s="109"/>
      <c r="G40" s="1">
        <v>21</v>
      </c>
      <c r="H40" s="1">
        <v>71.08</v>
      </c>
      <c r="I40" s="1">
        <v>71.260000000000005</v>
      </c>
      <c r="J40" s="8">
        <v>70.537000000000006</v>
      </c>
      <c r="K40" s="109"/>
      <c r="L40" s="1">
        <v>21</v>
      </c>
      <c r="M40" s="4">
        <v>70.61</v>
      </c>
      <c r="N40" s="4">
        <v>71.2</v>
      </c>
      <c r="O40" s="9">
        <v>69.968999999999994</v>
      </c>
    </row>
    <row r="41" spans="1:15" x14ac:dyDescent="0.2">
      <c r="A41" s="109"/>
      <c r="B41" s="1">
        <v>47</v>
      </c>
      <c r="C41" s="4">
        <v>71.7</v>
      </c>
      <c r="D41" s="4">
        <v>71.88</v>
      </c>
      <c r="E41" s="9">
        <v>71.626999999999995</v>
      </c>
      <c r="F41" s="109"/>
      <c r="G41" s="1">
        <v>47</v>
      </c>
      <c r="H41" s="4">
        <v>72.11</v>
      </c>
      <c r="I41" s="4">
        <v>72.62</v>
      </c>
      <c r="J41" s="9">
        <v>70.284999999999997</v>
      </c>
      <c r="K41" s="109"/>
      <c r="L41" s="1">
        <v>47</v>
      </c>
      <c r="M41" s="4">
        <v>75.59</v>
      </c>
      <c r="N41" s="4">
        <v>75.95</v>
      </c>
      <c r="O41" s="9">
        <v>75.326999999999998</v>
      </c>
    </row>
    <row r="42" spans="1:15" x14ac:dyDescent="0.2">
      <c r="A42" s="109"/>
      <c r="B42" s="1">
        <v>50</v>
      </c>
      <c r="C42" s="4">
        <v>72.62</v>
      </c>
      <c r="D42" s="4">
        <v>72.209999999999994</v>
      </c>
      <c r="E42" s="9">
        <v>69.849000000000004</v>
      </c>
      <c r="F42" s="109"/>
      <c r="G42" s="1">
        <v>50</v>
      </c>
      <c r="H42" s="4">
        <v>72.8</v>
      </c>
      <c r="I42" s="4">
        <v>72.11</v>
      </c>
      <c r="J42" s="9">
        <v>72.179000000000002</v>
      </c>
      <c r="K42" s="109"/>
      <c r="L42" s="1">
        <v>50</v>
      </c>
      <c r="M42" s="4">
        <v>72.94</v>
      </c>
      <c r="N42" s="4">
        <v>72.59</v>
      </c>
      <c r="O42" s="9">
        <v>72.215999999999994</v>
      </c>
    </row>
    <row r="43" spans="1:15" x14ac:dyDescent="0.2">
      <c r="A43" s="109"/>
      <c r="B43" s="2">
        <v>91</v>
      </c>
      <c r="C43" s="5">
        <v>73.11</v>
      </c>
      <c r="D43" s="5">
        <v>73.02</v>
      </c>
      <c r="E43" s="10">
        <v>73.018000000000001</v>
      </c>
      <c r="F43" s="109"/>
      <c r="G43" s="2">
        <v>91</v>
      </c>
      <c r="H43" s="5">
        <v>73.92</v>
      </c>
      <c r="I43" s="5">
        <v>73.39</v>
      </c>
      <c r="J43" s="10">
        <v>72.861999999999995</v>
      </c>
      <c r="K43" s="109"/>
      <c r="L43" s="2">
        <v>91</v>
      </c>
      <c r="M43" s="5">
        <v>74.7</v>
      </c>
      <c r="N43" s="5">
        <v>75.09</v>
      </c>
      <c r="O43" s="10">
        <v>72.850999999999999</v>
      </c>
    </row>
    <row r="44" spans="1:15" x14ac:dyDescent="0.2">
      <c r="A44" s="110"/>
      <c r="B44" s="6" t="s">
        <v>8</v>
      </c>
      <c r="C44" s="7">
        <f>AVERAGE(C39:C43)</f>
        <v>72.051999999999992</v>
      </c>
      <c r="D44" s="7">
        <f>AVERAGE(D39:D43)</f>
        <v>72.177999999999997</v>
      </c>
      <c r="E44" s="11">
        <f>AVERAGE(E39:E43)</f>
        <v>70.920599999999993</v>
      </c>
      <c r="F44" s="110"/>
      <c r="G44" s="6" t="s">
        <v>8</v>
      </c>
      <c r="H44" s="7">
        <f>AVERAGE(H39:H43)</f>
        <v>72.464000000000013</v>
      </c>
      <c r="I44" s="7">
        <f>AVERAGE(I39:I43)</f>
        <v>72.484000000000009</v>
      </c>
      <c r="J44" s="11">
        <f>AVERAGE(J39:J43)</f>
        <v>71.585200000000015</v>
      </c>
      <c r="K44" s="110"/>
      <c r="L44" s="6" t="s">
        <v>8</v>
      </c>
      <c r="M44" s="7">
        <f>AVERAGE(M39:M43)</f>
        <v>73.989999999999995</v>
      </c>
      <c r="N44" s="7">
        <f>AVERAGE(N39:N43)</f>
        <v>74.184000000000012</v>
      </c>
      <c r="O44" s="11">
        <f>AVERAGE(O39:O43)</f>
        <v>72.978800000000007</v>
      </c>
    </row>
    <row r="45" spans="1:15" x14ac:dyDescent="0.2">
      <c r="A45" s="109">
        <v>16</v>
      </c>
      <c r="B45" s="1">
        <v>13</v>
      </c>
      <c r="C45" s="4">
        <v>72.959999999999994</v>
      </c>
      <c r="D45" s="4">
        <v>73.55</v>
      </c>
      <c r="E45" s="9">
        <v>72.325000000000003</v>
      </c>
      <c r="F45" s="109">
        <v>16</v>
      </c>
      <c r="G45" s="1">
        <v>13</v>
      </c>
      <c r="H45" s="4">
        <v>76.260000000000005</v>
      </c>
      <c r="I45" s="4">
        <v>76.31</v>
      </c>
      <c r="J45" s="9">
        <v>76.790999999999997</v>
      </c>
      <c r="K45" s="109">
        <v>16</v>
      </c>
      <c r="L45" s="1">
        <v>13</v>
      </c>
      <c r="M45" s="4">
        <v>77.48</v>
      </c>
      <c r="N45" s="4">
        <v>77.650000000000006</v>
      </c>
      <c r="O45" s="9">
        <v>77.628</v>
      </c>
    </row>
    <row r="46" spans="1:15" x14ac:dyDescent="0.2">
      <c r="A46" s="109"/>
      <c r="B46" s="1">
        <v>21</v>
      </c>
      <c r="C46" s="4">
        <v>71.849999999999994</v>
      </c>
      <c r="D46" s="4">
        <v>72.02</v>
      </c>
      <c r="E46" s="9">
        <v>71.167000000000002</v>
      </c>
      <c r="F46" s="109"/>
      <c r="G46" s="1">
        <v>21</v>
      </c>
      <c r="H46" s="4">
        <v>76.66</v>
      </c>
      <c r="I46" s="4">
        <v>74.989999999999995</v>
      </c>
      <c r="J46" s="9">
        <v>77.459000000000003</v>
      </c>
      <c r="K46" s="109"/>
      <c r="L46" s="1">
        <v>21</v>
      </c>
      <c r="M46" s="4">
        <v>78.14</v>
      </c>
      <c r="N46" s="4">
        <v>74.459999999999994</v>
      </c>
      <c r="O46" s="9">
        <v>77.393000000000001</v>
      </c>
    </row>
    <row r="47" spans="1:15" x14ac:dyDescent="0.2">
      <c r="A47" s="109"/>
      <c r="B47" s="1">
        <v>47</v>
      </c>
      <c r="C47" s="4">
        <v>72.17</v>
      </c>
      <c r="D47" s="4">
        <v>72.650000000000006</v>
      </c>
      <c r="E47" s="9">
        <v>72.832999999999998</v>
      </c>
      <c r="F47" s="109"/>
      <c r="G47" s="1">
        <v>47</v>
      </c>
      <c r="H47" s="4">
        <v>76.22</v>
      </c>
      <c r="I47" s="4">
        <v>76.31</v>
      </c>
      <c r="J47" s="9">
        <v>76.727999999999994</v>
      </c>
      <c r="K47" s="109"/>
      <c r="L47" s="1">
        <v>47</v>
      </c>
      <c r="M47" s="4">
        <v>77.8</v>
      </c>
      <c r="N47" s="4">
        <v>77.709999999999994</v>
      </c>
      <c r="O47" s="9">
        <v>78.066000000000003</v>
      </c>
    </row>
    <row r="48" spans="1:15" x14ac:dyDescent="0.2">
      <c r="A48" s="109"/>
      <c r="B48" s="1">
        <v>50</v>
      </c>
      <c r="C48" s="4">
        <v>73.69</v>
      </c>
      <c r="D48" s="4">
        <v>73.55</v>
      </c>
      <c r="E48" s="9">
        <v>73.058000000000007</v>
      </c>
      <c r="F48" s="109"/>
      <c r="G48" s="1">
        <v>50</v>
      </c>
      <c r="H48" s="4">
        <v>77.69</v>
      </c>
      <c r="I48" s="4">
        <v>75.959999999999994</v>
      </c>
      <c r="J48" s="9">
        <v>72.587000000000003</v>
      </c>
      <c r="K48" s="109"/>
      <c r="L48" s="1">
        <v>50</v>
      </c>
      <c r="M48" s="4">
        <v>78.47</v>
      </c>
      <c r="N48" s="4">
        <v>77.75</v>
      </c>
      <c r="O48" s="9">
        <v>75.971999999999994</v>
      </c>
    </row>
    <row r="49" spans="1:15" x14ac:dyDescent="0.2">
      <c r="A49" s="109"/>
      <c r="B49" s="2">
        <v>91</v>
      </c>
      <c r="C49" s="5">
        <v>73.739999999999995</v>
      </c>
      <c r="D49" s="5">
        <v>73.41</v>
      </c>
      <c r="E49" s="10">
        <v>73.141000000000005</v>
      </c>
      <c r="F49" s="109"/>
      <c r="G49" s="2">
        <v>91</v>
      </c>
      <c r="H49" s="5">
        <v>77.739999999999995</v>
      </c>
      <c r="I49" s="5">
        <v>77.040000000000006</v>
      </c>
      <c r="J49" s="10">
        <v>76.56</v>
      </c>
      <c r="K49" s="109"/>
      <c r="L49" s="2">
        <v>91</v>
      </c>
      <c r="M49" s="5">
        <v>78.39</v>
      </c>
      <c r="N49" s="5">
        <v>78.3</v>
      </c>
      <c r="O49" s="10">
        <v>78.206999999999994</v>
      </c>
    </row>
    <row r="50" spans="1:15" x14ac:dyDescent="0.2">
      <c r="A50" s="110"/>
      <c r="B50" s="6" t="s">
        <v>8</v>
      </c>
      <c r="C50" s="7">
        <f>AVERAGE(C45:C49)</f>
        <v>72.882000000000005</v>
      </c>
      <c r="D50" s="7">
        <f>AVERAGE(D45:D49)</f>
        <v>73.035999999999987</v>
      </c>
      <c r="E50" s="11">
        <f>AVERAGE(E45:E49)</f>
        <v>72.504800000000017</v>
      </c>
      <c r="F50" s="110"/>
      <c r="G50" s="6" t="s">
        <v>8</v>
      </c>
      <c r="H50" s="7">
        <f>AVERAGE(H45:H49)</f>
        <v>76.914000000000016</v>
      </c>
      <c r="I50" s="7">
        <f>AVERAGE(I45:I49)</f>
        <v>76.122</v>
      </c>
      <c r="J50" s="11">
        <f>AVERAGE(J45:J49)</f>
        <v>76.025000000000006</v>
      </c>
      <c r="K50" s="110"/>
      <c r="L50" s="6" t="s">
        <v>8</v>
      </c>
      <c r="M50" s="7">
        <f>AVERAGE(M45:M49)</f>
        <v>78.055999999999997</v>
      </c>
      <c r="N50" s="7">
        <f>AVERAGE(N45:N49)</f>
        <v>77.174000000000007</v>
      </c>
      <c r="O50" s="11">
        <f>AVERAGE(O45:O49)</f>
        <v>77.45320000000001</v>
      </c>
    </row>
    <row r="51" spans="1:15" x14ac:dyDescent="0.2">
      <c r="A51" s="109">
        <v>32</v>
      </c>
      <c r="B51" s="1">
        <v>13</v>
      </c>
      <c r="C51" s="1">
        <v>73.34</v>
      </c>
      <c r="D51" s="4">
        <v>73.69</v>
      </c>
      <c r="E51" s="9">
        <v>72.472999999999999</v>
      </c>
      <c r="F51" s="109">
        <v>32</v>
      </c>
      <c r="G51" s="1">
        <v>13</v>
      </c>
      <c r="H51" s="4">
        <v>78</v>
      </c>
      <c r="I51" s="4">
        <v>76.680000000000007</v>
      </c>
      <c r="J51" s="9">
        <v>78.718000000000004</v>
      </c>
      <c r="K51" s="109">
        <v>32</v>
      </c>
      <c r="L51" s="1">
        <v>13</v>
      </c>
      <c r="M51" s="4">
        <v>78.3</v>
      </c>
      <c r="N51" s="4">
        <v>79.59</v>
      </c>
      <c r="O51" s="9">
        <v>79.093999999999994</v>
      </c>
    </row>
    <row r="52" spans="1:15" x14ac:dyDescent="0.2">
      <c r="A52" s="109"/>
      <c r="B52" s="1">
        <v>21</v>
      </c>
      <c r="C52" s="4">
        <v>72.44</v>
      </c>
      <c r="D52" s="4">
        <v>73.040000000000006</v>
      </c>
      <c r="E52" s="9">
        <v>71.873999999999995</v>
      </c>
      <c r="F52" s="109"/>
      <c r="G52" s="1">
        <v>21</v>
      </c>
      <c r="H52" s="4">
        <v>78.3</v>
      </c>
      <c r="I52" s="4">
        <v>74.14</v>
      </c>
      <c r="J52" s="9">
        <v>77.659000000000006</v>
      </c>
      <c r="K52" s="109"/>
      <c r="L52" s="1">
        <v>21</v>
      </c>
      <c r="M52" s="4">
        <v>79.459999999999994</v>
      </c>
      <c r="N52" s="4">
        <v>73.92</v>
      </c>
      <c r="O52" s="9">
        <v>77.897999999999996</v>
      </c>
    </row>
    <row r="53" spans="1:15" x14ac:dyDescent="0.2">
      <c r="A53" s="109"/>
      <c r="B53" s="1">
        <v>47</v>
      </c>
      <c r="C53" s="4">
        <v>72.44</v>
      </c>
      <c r="D53" s="4">
        <v>73.12</v>
      </c>
      <c r="E53" s="9">
        <v>73.010000000000005</v>
      </c>
      <c r="F53" s="109"/>
      <c r="G53" s="1">
        <v>47</v>
      </c>
      <c r="H53" s="4">
        <v>78.14</v>
      </c>
      <c r="I53" s="4">
        <v>77.959999999999994</v>
      </c>
      <c r="J53" s="9">
        <v>79.168000000000006</v>
      </c>
      <c r="K53" s="109"/>
      <c r="L53" s="1">
        <v>47</v>
      </c>
      <c r="M53" s="4">
        <v>79</v>
      </c>
      <c r="N53" s="4">
        <v>78.72</v>
      </c>
      <c r="O53" s="9">
        <v>79.738</v>
      </c>
    </row>
    <row r="54" spans="1:15" x14ac:dyDescent="0.2">
      <c r="A54" s="109"/>
      <c r="B54" s="1">
        <v>50</v>
      </c>
      <c r="C54" s="4">
        <v>73.5</v>
      </c>
      <c r="D54" s="4">
        <v>73.239999999999995</v>
      </c>
      <c r="E54" s="9">
        <v>73.400000000000006</v>
      </c>
      <c r="F54" s="109"/>
      <c r="G54" s="1">
        <v>50</v>
      </c>
      <c r="H54" s="4">
        <v>79.459999999999994</v>
      </c>
      <c r="I54" s="4">
        <v>75.42</v>
      </c>
      <c r="J54" s="9">
        <v>70.647999999999996</v>
      </c>
      <c r="K54" s="109"/>
      <c r="L54" s="1">
        <v>50</v>
      </c>
      <c r="M54" s="4">
        <v>79.86</v>
      </c>
      <c r="N54" s="4">
        <v>78.260000000000005</v>
      </c>
      <c r="O54" s="9">
        <v>75.796999999999997</v>
      </c>
    </row>
    <row r="55" spans="1:15" x14ac:dyDescent="0.2">
      <c r="A55" s="109"/>
      <c r="B55" s="2">
        <v>91</v>
      </c>
      <c r="C55" s="5">
        <v>74.209999999999994</v>
      </c>
      <c r="D55" s="5">
        <v>73.84</v>
      </c>
      <c r="E55" s="10">
        <v>73.602999999999994</v>
      </c>
      <c r="F55" s="109"/>
      <c r="G55" s="2">
        <v>91</v>
      </c>
      <c r="H55" s="5">
        <v>79.44</v>
      </c>
      <c r="I55" s="5">
        <v>79.34</v>
      </c>
      <c r="J55" s="10">
        <v>78.826999999999998</v>
      </c>
      <c r="K55" s="109"/>
      <c r="L55" s="2">
        <v>91</v>
      </c>
      <c r="M55" s="5">
        <v>80.47</v>
      </c>
      <c r="N55" s="5">
        <v>80</v>
      </c>
      <c r="O55" s="10">
        <v>80.075000000000003</v>
      </c>
    </row>
    <row r="56" spans="1:15" x14ac:dyDescent="0.2">
      <c r="A56" s="110"/>
      <c r="B56" s="6" t="s">
        <v>8</v>
      </c>
      <c r="C56" s="7">
        <f>AVERAGE(C51:C55)</f>
        <v>73.186000000000007</v>
      </c>
      <c r="D56" s="7">
        <f>AVERAGE(D51:D55)</f>
        <v>73.38600000000001</v>
      </c>
      <c r="E56" s="11">
        <f>AVERAGE(E51:E55)</f>
        <v>72.871999999999986</v>
      </c>
      <c r="F56" s="110"/>
      <c r="G56" s="6" t="s">
        <v>8</v>
      </c>
      <c r="H56" s="7">
        <f>AVERAGE(H51:H55)</f>
        <v>78.667999999999992</v>
      </c>
      <c r="I56" s="7">
        <f>AVERAGE(I51:I55)</f>
        <v>76.707999999999998</v>
      </c>
      <c r="J56" s="11">
        <f>AVERAGE(J51:J55)</f>
        <v>77.003999999999991</v>
      </c>
      <c r="K56" s="110"/>
      <c r="L56" s="6" t="s">
        <v>8</v>
      </c>
      <c r="M56" s="7">
        <f>AVERAGE(M51:M55)</f>
        <v>79.418000000000006</v>
      </c>
      <c r="N56" s="7">
        <f>AVERAGE(N51:N55)</f>
        <v>78.097999999999999</v>
      </c>
      <c r="O56" s="11">
        <f>AVERAGE(O51:O55)</f>
        <v>78.520399999999995</v>
      </c>
    </row>
    <row r="57" spans="1:15" x14ac:dyDescent="0.2">
      <c r="A57" s="109">
        <v>64</v>
      </c>
      <c r="B57" s="1">
        <v>13</v>
      </c>
      <c r="C57" s="4">
        <v>73.39</v>
      </c>
      <c r="D57" s="4">
        <v>73.900000000000006</v>
      </c>
      <c r="E57" s="9">
        <v>71.950999999999993</v>
      </c>
      <c r="F57" s="109">
        <v>64</v>
      </c>
      <c r="G57" s="1">
        <v>13</v>
      </c>
      <c r="H57" s="4">
        <v>78.040000000000006</v>
      </c>
      <c r="I57" s="4">
        <v>76.75</v>
      </c>
      <c r="J57" s="9">
        <v>78.421999999999997</v>
      </c>
      <c r="K57" s="109">
        <v>64</v>
      </c>
      <c r="L57" s="1">
        <v>13</v>
      </c>
      <c r="M57" s="112"/>
      <c r="N57" s="113"/>
      <c r="O57" s="114"/>
    </row>
    <row r="58" spans="1:15" x14ac:dyDescent="0.2">
      <c r="A58" s="109"/>
      <c r="B58" s="1">
        <v>21</v>
      </c>
      <c r="C58" s="4">
        <v>72.92</v>
      </c>
      <c r="D58" s="4">
        <v>72.75</v>
      </c>
      <c r="E58" s="9">
        <v>72.180000000000007</v>
      </c>
      <c r="F58" s="109"/>
      <c r="G58" s="1">
        <v>21</v>
      </c>
      <c r="H58" s="4">
        <v>78.56</v>
      </c>
      <c r="I58" s="4">
        <v>72.86</v>
      </c>
      <c r="J58" s="9">
        <v>77.067999999999998</v>
      </c>
      <c r="K58" s="109"/>
      <c r="L58" s="1">
        <v>21</v>
      </c>
      <c r="M58" s="115"/>
      <c r="N58" s="115"/>
      <c r="O58" s="116"/>
    </row>
    <row r="59" spans="1:15" x14ac:dyDescent="0.2">
      <c r="A59" s="109"/>
      <c r="B59" s="1">
        <v>47</v>
      </c>
      <c r="C59" s="4">
        <v>72.7</v>
      </c>
      <c r="D59" s="4">
        <v>73.5</v>
      </c>
      <c r="E59" s="9">
        <v>72.581000000000003</v>
      </c>
      <c r="F59" s="109"/>
      <c r="G59" s="1">
        <v>47</v>
      </c>
      <c r="H59" s="4">
        <v>77.680000000000007</v>
      </c>
      <c r="I59" s="4">
        <v>77.2</v>
      </c>
      <c r="J59" s="9">
        <v>78.825000000000003</v>
      </c>
      <c r="K59" s="109"/>
      <c r="L59" s="1">
        <v>47</v>
      </c>
      <c r="M59" s="115"/>
      <c r="N59" s="115"/>
      <c r="O59" s="116"/>
    </row>
    <row r="60" spans="1:15" x14ac:dyDescent="0.2">
      <c r="A60" s="109"/>
      <c r="B60" s="1">
        <v>50</v>
      </c>
      <c r="C60" s="4">
        <v>73.69</v>
      </c>
      <c r="D60" s="4">
        <v>73.650000000000006</v>
      </c>
      <c r="E60" s="9">
        <v>73.322999999999993</v>
      </c>
      <c r="F60" s="109"/>
      <c r="G60" s="1">
        <v>50</v>
      </c>
      <c r="H60" s="4">
        <v>78.83</v>
      </c>
      <c r="I60" s="4">
        <v>76.150000000000006</v>
      </c>
      <c r="J60" s="9">
        <v>72.364000000000004</v>
      </c>
      <c r="K60" s="109"/>
      <c r="L60" s="1">
        <v>50</v>
      </c>
      <c r="M60" s="115"/>
      <c r="N60" s="115"/>
      <c r="O60" s="116"/>
    </row>
    <row r="61" spans="1:15" x14ac:dyDescent="0.2">
      <c r="A61" s="109"/>
      <c r="B61" s="2">
        <v>91</v>
      </c>
      <c r="C61" s="5">
        <v>74.260000000000005</v>
      </c>
      <c r="D61" s="5">
        <v>73.989999999999995</v>
      </c>
      <c r="E61" s="10">
        <v>72.040999999999997</v>
      </c>
      <c r="F61" s="109"/>
      <c r="G61" s="2">
        <v>91</v>
      </c>
      <c r="H61" s="5">
        <v>79.069999999999993</v>
      </c>
      <c r="I61" s="5">
        <v>78.790000000000006</v>
      </c>
      <c r="J61" s="10">
        <v>77.656000000000006</v>
      </c>
      <c r="K61" s="109"/>
      <c r="L61" s="2">
        <v>91</v>
      </c>
      <c r="M61" s="117"/>
      <c r="N61" s="117"/>
      <c r="O61" s="118"/>
    </row>
    <row r="62" spans="1:15" x14ac:dyDescent="0.2">
      <c r="A62" s="110"/>
      <c r="B62" s="6" t="s">
        <v>8</v>
      </c>
      <c r="C62" s="7">
        <f>AVERAGE(C57:C61)</f>
        <v>73.391999999999996</v>
      </c>
      <c r="D62" s="7">
        <f>AVERAGE(D57:D61)</f>
        <v>73.558000000000007</v>
      </c>
      <c r="E62" s="11">
        <f>AVERAGE(E57:E61)</f>
        <v>72.415199999999999</v>
      </c>
      <c r="F62" s="110"/>
      <c r="G62" s="6" t="s">
        <v>8</v>
      </c>
      <c r="H62" s="7">
        <f>AVERAGE(H57:H61)</f>
        <v>78.436000000000007</v>
      </c>
      <c r="I62" s="7">
        <f>AVERAGE(I57:I61)</f>
        <v>76.350000000000009</v>
      </c>
      <c r="J62" s="11">
        <f>AVERAGE(J57:J61)</f>
        <v>76.86699999999999</v>
      </c>
      <c r="K62" s="110"/>
      <c r="L62" s="6" t="s">
        <v>8</v>
      </c>
      <c r="M62" s="7" t="e">
        <f>AVERAGE(M57:M61)</f>
        <v>#DIV/0!</v>
      </c>
      <c r="N62" s="7" t="e">
        <f t="shared" ref="N62:O62" si="11">AVERAGE(N57:N61)</f>
        <v>#DIV/0!</v>
      </c>
      <c r="O62" s="11" t="e">
        <f t="shared" si="11"/>
        <v>#DIV/0!</v>
      </c>
    </row>
    <row r="63" spans="1:15" x14ac:dyDescent="0.2">
      <c r="D63" s="84">
        <f>D62-D44</f>
        <v>1.3800000000000097</v>
      </c>
    </row>
    <row r="65" spans="1:15" x14ac:dyDescent="0.2">
      <c r="B65" s="1" t="s">
        <v>18</v>
      </c>
      <c r="C65" s="1" t="s">
        <v>19</v>
      </c>
    </row>
    <row r="68" spans="1:15" x14ac:dyDescent="0.2">
      <c r="A68" s="108" t="s">
        <v>0</v>
      </c>
      <c r="B68" s="108"/>
      <c r="C68" s="108"/>
      <c r="D68" s="108"/>
      <c r="E68" s="111"/>
      <c r="F68" s="108" t="s">
        <v>1</v>
      </c>
      <c r="G68" s="108"/>
      <c r="H68" s="108"/>
      <c r="I68" s="108"/>
      <c r="J68" s="111"/>
      <c r="K68" s="108" t="s">
        <v>2</v>
      </c>
      <c r="L68" s="108"/>
      <c r="M68" s="108"/>
      <c r="N68" s="108"/>
      <c r="O68" s="111"/>
    </row>
    <row r="69" spans="1:15" x14ac:dyDescent="0.2">
      <c r="A69" s="3" t="s">
        <v>3</v>
      </c>
      <c r="B69" s="3" t="s">
        <v>4</v>
      </c>
      <c r="C69" s="3" t="s">
        <v>5</v>
      </c>
      <c r="D69" s="3" t="s">
        <v>6</v>
      </c>
      <c r="E69" s="12" t="s">
        <v>7</v>
      </c>
      <c r="F69" s="3" t="s">
        <v>3</v>
      </c>
      <c r="G69" s="3" t="s">
        <v>4</v>
      </c>
      <c r="H69" s="3" t="s">
        <v>5</v>
      </c>
      <c r="I69" s="3" t="s">
        <v>6</v>
      </c>
      <c r="J69" s="12" t="s">
        <v>7</v>
      </c>
      <c r="K69" s="3" t="s">
        <v>3</v>
      </c>
      <c r="L69" s="3" t="s">
        <v>4</v>
      </c>
      <c r="M69" s="3" t="s">
        <v>5</v>
      </c>
      <c r="N69" s="3" t="s">
        <v>6</v>
      </c>
      <c r="O69" s="12" t="s">
        <v>7</v>
      </c>
    </row>
    <row r="70" spans="1:15" x14ac:dyDescent="0.2">
      <c r="A70" s="109">
        <v>8</v>
      </c>
      <c r="B70" s="1">
        <v>13</v>
      </c>
      <c r="C70" s="1">
        <v>71.3</v>
      </c>
      <c r="D70" s="1">
        <v>71.260000000000005</v>
      </c>
      <c r="E70" s="8">
        <v>72.902000000000001</v>
      </c>
      <c r="F70" s="109">
        <v>8</v>
      </c>
      <c r="G70" s="1">
        <v>13</v>
      </c>
      <c r="H70" s="1">
        <v>72.42</v>
      </c>
      <c r="I70" s="1">
        <v>72.64</v>
      </c>
      <c r="J70" s="8">
        <v>72.900000000000006</v>
      </c>
      <c r="K70" s="109">
        <v>8</v>
      </c>
      <c r="L70" s="1">
        <v>13</v>
      </c>
      <c r="M70" s="1">
        <v>72.86</v>
      </c>
      <c r="N70" s="1">
        <v>72.64</v>
      </c>
      <c r="O70" s="8">
        <v>74.468000000000004</v>
      </c>
    </row>
    <row r="71" spans="1:15" x14ac:dyDescent="0.2">
      <c r="A71" s="109"/>
      <c r="B71" s="1">
        <v>21</v>
      </c>
      <c r="C71" s="4">
        <v>70.650000000000006</v>
      </c>
      <c r="D71" s="4">
        <v>71.290000000000006</v>
      </c>
      <c r="E71" s="9">
        <v>72.855999999999995</v>
      </c>
      <c r="F71" s="109"/>
      <c r="G71" s="1">
        <v>21</v>
      </c>
      <c r="H71" s="4">
        <v>70.739999999999995</v>
      </c>
      <c r="I71" s="4">
        <v>72.06</v>
      </c>
      <c r="J71" s="9">
        <v>72.477999999999994</v>
      </c>
      <c r="K71" s="109"/>
      <c r="L71" s="1">
        <v>21</v>
      </c>
      <c r="M71" s="4">
        <v>72.63</v>
      </c>
      <c r="N71" s="4">
        <v>72.400000000000006</v>
      </c>
      <c r="O71" s="9">
        <v>75.085999999999999</v>
      </c>
    </row>
    <row r="72" spans="1:15" x14ac:dyDescent="0.2">
      <c r="A72" s="109"/>
      <c r="B72" s="1">
        <v>47</v>
      </c>
      <c r="C72" s="4">
        <v>70.23</v>
      </c>
      <c r="D72" s="4">
        <v>71.34</v>
      </c>
      <c r="E72" s="9">
        <v>73.073999999999998</v>
      </c>
      <c r="F72" s="109"/>
      <c r="G72" s="1">
        <v>47</v>
      </c>
      <c r="H72" s="4">
        <v>70.81</v>
      </c>
      <c r="I72" s="4">
        <v>71.83</v>
      </c>
      <c r="J72" s="9">
        <v>72.536000000000001</v>
      </c>
      <c r="K72" s="109"/>
      <c r="L72" s="1">
        <v>47</v>
      </c>
      <c r="M72" s="4">
        <v>73.25</v>
      </c>
      <c r="N72" s="4">
        <v>73.959999999999994</v>
      </c>
      <c r="O72" s="9">
        <v>75.536000000000001</v>
      </c>
    </row>
    <row r="73" spans="1:15" x14ac:dyDescent="0.2">
      <c r="A73" s="109"/>
      <c r="B73" s="1">
        <v>50</v>
      </c>
      <c r="C73" s="4">
        <v>70.260000000000005</v>
      </c>
      <c r="D73" s="4">
        <v>71.08</v>
      </c>
      <c r="E73" s="9">
        <v>72.325000000000003</v>
      </c>
      <c r="F73" s="109"/>
      <c r="G73" s="1">
        <v>50</v>
      </c>
      <c r="H73" s="4">
        <v>71.319999999999993</v>
      </c>
      <c r="I73" s="4">
        <v>71.930000000000007</v>
      </c>
      <c r="J73" s="9">
        <v>72.623000000000005</v>
      </c>
      <c r="K73" s="109"/>
      <c r="L73" s="1">
        <v>50</v>
      </c>
      <c r="M73" s="4">
        <v>70.819999999999993</v>
      </c>
      <c r="N73" s="4">
        <v>70.47</v>
      </c>
      <c r="O73" s="9">
        <v>72.326999999999998</v>
      </c>
    </row>
    <row r="74" spans="1:15" x14ac:dyDescent="0.2">
      <c r="A74" s="109"/>
      <c r="B74" s="2">
        <v>91</v>
      </c>
      <c r="C74" s="5">
        <v>67.52</v>
      </c>
      <c r="D74" s="5">
        <v>68.27</v>
      </c>
      <c r="E74" s="10">
        <v>70.192999999999998</v>
      </c>
      <c r="F74" s="109"/>
      <c r="G74" s="2">
        <v>91</v>
      </c>
      <c r="H74" s="5">
        <v>71.37</v>
      </c>
      <c r="I74" s="5">
        <v>71.569999999999993</v>
      </c>
      <c r="J74" s="10">
        <v>72.977999999999994</v>
      </c>
      <c r="K74" s="109"/>
      <c r="L74" s="2">
        <v>91</v>
      </c>
      <c r="M74" s="5">
        <v>72.540000000000006</v>
      </c>
      <c r="N74" s="5">
        <v>71.58</v>
      </c>
      <c r="O74" s="10">
        <v>74.262</v>
      </c>
    </row>
    <row r="75" spans="1:15" x14ac:dyDescent="0.2">
      <c r="A75" s="110"/>
      <c r="B75" s="6" t="s">
        <v>8</v>
      </c>
      <c r="C75" s="7">
        <f>AVERAGE(C70:C74)</f>
        <v>69.99199999999999</v>
      </c>
      <c r="D75" s="7">
        <f t="shared" ref="D75" si="12">AVERAGE(D70:D74)</f>
        <v>70.647999999999996</v>
      </c>
      <c r="E75" s="11">
        <f>AVERAGE(E70:E74)</f>
        <v>72.27</v>
      </c>
      <c r="F75" s="110"/>
      <c r="G75" s="6" t="s">
        <v>8</v>
      </c>
      <c r="H75" s="7">
        <f>AVERAGE(H70:H74)</f>
        <v>71.331999999999994</v>
      </c>
      <c r="I75" s="7">
        <f t="shared" ref="I75:J75" si="13">AVERAGE(I70:I74)</f>
        <v>72.006</v>
      </c>
      <c r="J75" s="11">
        <f t="shared" si="13"/>
        <v>72.703000000000003</v>
      </c>
      <c r="K75" s="110"/>
      <c r="L75" s="6" t="s">
        <v>8</v>
      </c>
      <c r="M75" s="7">
        <f>AVERAGE(M70:M74)</f>
        <v>72.42</v>
      </c>
      <c r="N75" s="7">
        <f t="shared" ref="N75:O75" si="14">AVERAGE(N70:N74)</f>
        <v>72.210000000000008</v>
      </c>
      <c r="O75" s="11">
        <f t="shared" si="14"/>
        <v>74.335800000000006</v>
      </c>
    </row>
    <row r="76" spans="1:15" x14ac:dyDescent="0.2">
      <c r="A76" s="109">
        <v>16</v>
      </c>
      <c r="B76" s="1">
        <v>13</v>
      </c>
      <c r="C76" s="4">
        <v>74.98</v>
      </c>
      <c r="D76" s="4">
        <v>75.22</v>
      </c>
      <c r="E76" s="9">
        <v>76.494</v>
      </c>
      <c r="F76" s="109">
        <v>16</v>
      </c>
      <c r="G76" s="1">
        <v>13</v>
      </c>
      <c r="H76" s="4">
        <v>74.959999999999994</v>
      </c>
      <c r="I76" s="4">
        <v>75.13</v>
      </c>
      <c r="J76" s="9">
        <v>75.082999999999998</v>
      </c>
      <c r="K76" s="109">
        <v>16</v>
      </c>
      <c r="L76" s="1">
        <v>13</v>
      </c>
      <c r="M76" s="4">
        <v>76</v>
      </c>
      <c r="N76" s="4">
        <v>76.09</v>
      </c>
      <c r="O76" s="9">
        <v>76.721000000000004</v>
      </c>
    </row>
    <row r="77" spans="1:15" x14ac:dyDescent="0.2">
      <c r="A77" s="109"/>
      <c r="B77" s="1">
        <v>21</v>
      </c>
      <c r="C77" s="4">
        <v>74.23</v>
      </c>
      <c r="D77" s="4">
        <v>75.38</v>
      </c>
      <c r="E77" s="9">
        <v>76.521000000000001</v>
      </c>
      <c r="F77" s="109"/>
      <c r="G77" s="1">
        <v>21</v>
      </c>
      <c r="H77" s="4">
        <v>73.34</v>
      </c>
      <c r="I77" s="4">
        <v>74.599999999999994</v>
      </c>
      <c r="J77" s="9">
        <v>75.287000000000006</v>
      </c>
      <c r="K77" s="109"/>
      <c r="L77" s="1">
        <v>21</v>
      </c>
      <c r="M77" s="4">
        <v>76.069999999999993</v>
      </c>
      <c r="N77" s="4">
        <v>76.08</v>
      </c>
      <c r="O77" s="9">
        <v>77.522999999999996</v>
      </c>
    </row>
    <row r="78" spans="1:15" x14ac:dyDescent="0.2">
      <c r="A78" s="109"/>
      <c r="B78" s="1">
        <v>47</v>
      </c>
      <c r="C78" s="4">
        <v>73.42</v>
      </c>
      <c r="D78" s="4">
        <v>74.48</v>
      </c>
      <c r="E78" s="9">
        <v>74.984999999999999</v>
      </c>
      <c r="F78" s="109"/>
      <c r="G78" s="1">
        <v>47</v>
      </c>
      <c r="H78" s="4">
        <v>73.709999999999994</v>
      </c>
      <c r="I78" s="4">
        <v>74.63</v>
      </c>
      <c r="J78" s="9">
        <v>75.203000000000003</v>
      </c>
      <c r="K78" s="109"/>
      <c r="L78" s="1">
        <v>47</v>
      </c>
      <c r="M78" s="4">
        <v>76.19</v>
      </c>
      <c r="N78" s="4">
        <v>77.64</v>
      </c>
      <c r="O78" s="9">
        <v>78.117000000000004</v>
      </c>
    </row>
    <row r="79" spans="1:15" x14ac:dyDescent="0.2">
      <c r="A79" s="109"/>
      <c r="B79" s="1">
        <v>50</v>
      </c>
      <c r="C79" s="4">
        <v>74.16</v>
      </c>
      <c r="D79" s="4">
        <v>75.069999999999993</v>
      </c>
      <c r="E79" s="9">
        <v>75.984999999999999</v>
      </c>
      <c r="F79" s="109"/>
      <c r="G79" s="1">
        <v>50</v>
      </c>
      <c r="H79" s="4">
        <v>74.739999999999995</v>
      </c>
      <c r="I79" s="4">
        <v>75.28</v>
      </c>
      <c r="J79" s="9">
        <v>76.281000000000006</v>
      </c>
      <c r="K79" s="109"/>
      <c r="L79" s="1">
        <v>50</v>
      </c>
      <c r="M79" s="4">
        <v>75.27</v>
      </c>
      <c r="N79" s="4">
        <v>76.25</v>
      </c>
      <c r="O79" s="9">
        <v>76.548000000000002</v>
      </c>
    </row>
    <row r="80" spans="1:15" x14ac:dyDescent="0.2">
      <c r="A80" s="109"/>
      <c r="B80" s="2">
        <v>91</v>
      </c>
      <c r="C80" s="5">
        <v>74.17</v>
      </c>
      <c r="D80" s="5">
        <v>74.56</v>
      </c>
      <c r="E80" s="10">
        <v>75.637</v>
      </c>
      <c r="F80" s="109"/>
      <c r="G80" s="2">
        <v>91</v>
      </c>
      <c r="H80" s="5">
        <v>74.95</v>
      </c>
      <c r="I80" s="5">
        <v>75.930000000000007</v>
      </c>
      <c r="J80" s="10">
        <v>76.885000000000005</v>
      </c>
      <c r="K80" s="109"/>
      <c r="L80" s="2">
        <v>91</v>
      </c>
      <c r="M80" s="5">
        <v>75.11</v>
      </c>
      <c r="N80" s="5">
        <v>75.84</v>
      </c>
      <c r="O80" s="10">
        <v>77.34</v>
      </c>
    </row>
    <row r="81" spans="1:15" x14ac:dyDescent="0.2">
      <c r="A81" s="110"/>
      <c r="B81" s="6" t="s">
        <v>8</v>
      </c>
      <c r="C81" s="7">
        <f>AVERAGE(C76:C80)</f>
        <v>74.191999999999993</v>
      </c>
      <c r="D81" s="7">
        <f t="shared" ref="D81:E81" si="15">AVERAGE(D76:D80)</f>
        <v>74.941999999999993</v>
      </c>
      <c r="E81" s="11">
        <f t="shared" si="15"/>
        <v>75.924400000000006</v>
      </c>
      <c r="F81" s="110"/>
      <c r="G81" s="6" t="s">
        <v>8</v>
      </c>
      <c r="H81" s="7">
        <f>AVERAGE(H76:H80)</f>
        <v>74.34</v>
      </c>
      <c r="I81" s="7">
        <f>AVERAGE(I76:I80)</f>
        <v>75.114000000000004</v>
      </c>
      <c r="J81" s="11">
        <f>AVERAGE(J76:J80)</f>
        <v>75.747800000000012</v>
      </c>
      <c r="K81" s="110"/>
      <c r="L81" s="6" t="s">
        <v>8</v>
      </c>
      <c r="M81" s="7">
        <f>AVERAGE(M76:M80)</f>
        <v>75.727999999999994</v>
      </c>
      <c r="N81" s="7">
        <f>AVERAGE(N76:N80)</f>
        <v>76.38</v>
      </c>
      <c r="O81" s="11">
        <f>AVERAGE(O76:O80)</f>
        <v>77.249800000000008</v>
      </c>
    </row>
    <row r="82" spans="1:15" x14ac:dyDescent="0.2">
      <c r="A82" s="109">
        <v>32</v>
      </c>
      <c r="B82" s="1">
        <v>13</v>
      </c>
      <c r="C82" s="4">
        <v>76.12</v>
      </c>
      <c r="D82" s="4">
        <v>76.430000000000007</v>
      </c>
      <c r="E82" s="9">
        <v>77.426000000000002</v>
      </c>
      <c r="F82" s="126">
        <v>32</v>
      </c>
      <c r="G82" s="1">
        <v>13</v>
      </c>
      <c r="H82" s="4">
        <v>75.8</v>
      </c>
      <c r="I82" s="4">
        <v>76.599999999999994</v>
      </c>
      <c r="J82" s="9">
        <v>77.513000000000005</v>
      </c>
      <c r="K82" s="109">
        <v>32</v>
      </c>
      <c r="L82" s="1">
        <v>13</v>
      </c>
      <c r="M82" s="4">
        <v>79</v>
      </c>
      <c r="N82" s="4">
        <v>79.47</v>
      </c>
      <c r="O82" s="9">
        <v>80.197000000000003</v>
      </c>
    </row>
    <row r="83" spans="1:15" x14ac:dyDescent="0.2">
      <c r="A83" s="109"/>
      <c r="B83" s="1">
        <v>21</v>
      </c>
      <c r="C83" s="4">
        <v>75.81</v>
      </c>
      <c r="D83" s="4">
        <v>76.209999999999994</v>
      </c>
      <c r="E83" s="9">
        <v>77.63</v>
      </c>
      <c r="F83" s="126"/>
      <c r="G83" s="1">
        <v>21</v>
      </c>
      <c r="H83" s="4">
        <v>75.77</v>
      </c>
      <c r="I83" s="4">
        <v>76.430000000000007</v>
      </c>
      <c r="J83" s="9">
        <v>77.212000000000003</v>
      </c>
      <c r="K83" s="109"/>
      <c r="L83" s="1">
        <v>21</v>
      </c>
      <c r="M83" s="4">
        <v>80.16</v>
      </c>
      <c r="N83" s="4">
        <v>80.45</v>
      </c>
      <c r="O83" s="9">
        <v>80.751999999999995</v>
      </c>
    </row>
    <row r="84" spans="1:15" x14ac:dyDescent="0.2">
      <c r="A84" s="109"/>
      <c r="B84" s="1">
        <v>47</v>
      </c>
      <c r="C84" s="4">
        <v>75.19</v>
      </c>
      <c r="D84" s="4">
        <v>76.260000000000005</v>
      </c>
      <c r="E84" s="9">
        <v>77.468000000000004</v>
      </c>
      <c r="F84" s="126"/>
      <c r="G84" s="1">
        <v>47</v>
      </c>
      <c r="H84" s="4">
        <v>75.72</v>
      </c>
      <c r="I84" s="4">
        <v>77.25</v>
      </c>
      <c r="J84" s="9">
        <v>76.998999999999995</v>
      </c>
      <c r="K84" s="109"/>
      <c r="L84" s="1">
        <v>47</v>
      </c>
      <c r="M84" s="4">
        <v>77.64</v>
      </c>
      <c r="N84" s="4">
        <v>78.64</v>
      </c>
      <c r="O84" s="9">
        <v>80.010999999999996</v>
      </c>
    </row>
    <row r="85" spans="1:15" x14ac:dyDescent="0.2">
      <c r="A85" s="109"/>
      <c r="B85" s="1">
        <v>50</v>
      </c>
      <c r="C85" s="4">
        <v>76.099999999999994</v>
      </c>
      <c r="D85" s="4">
        <v>76.44</v>
      </c>
      <c r="E85" s="9">
        <v>77.245999999999995</v>
      </c>
      <c r="F85" s="126"/>
      <c r="G85" s="1">
        <v>50</v>
      </c>
      <c r="H85" s="4">
        <v>76.87</v>
      </c>
      <c r="I85" s="4">
        <v>77.900000000000006</v>
      </c>
      <c r="J85" s="9">
        <v>78.248000000000005</v>
      </c>
      <c r="K85" s="109"/>
      <c r="L85" s="1">
        <v>50</v>
      </c>
      <c r="M85" s="4">
        <v>78.69</v>
      </c>
      <c r="N85" s="4">
        <v>79.59</v>
      </c>
      <c r="O85" s="9">
        <v>80.808999999999997</v>
      </c>
    </row>
    <row r="86" spans="1:15" x14ac:dyDescent="0.2">
      <c r="A86" s="109"/>
      <c r="B86" s="2">
        <v>91</v>
      </c>
      <c r="C86" s="5">
        <v>75.709999999999994</v>
      </c>
      <c r="D86" s="5">
        <v>76.3</v>
      </c>
      <c r="E86" s="10">
        <v>77.212000000000003</v>
      </c>
      <c r="F86" s="126"/>
      <c r="G86" s="2">
        <v>91</v>
      </c>
      <c r="H86" s="5">
        <v>76.7</v>
      </c>
      <c r="I86" s="5">
        <v>77.37</v>
      </c>
      <c r="J86" s="10">
        <v>78.563999999999993</v>
      </c>
      <c r="K86" s="109"/>
      <c r="L86" s="2">
        <v>91</v>
      </c>
      <c r="M86" s="5">
        <v>76.91</v>
      </c>
      <c r="N86" s="5">
        <v>78.260000000000005</v>
      </c>
      <c r="O86" s="10">
        <v>78.251000000000005</v>
      </c>
    </row>
    <row r="87" spans="1:15" x14ac:dyDescent="0.2">
      <c r="A87" s="110"/>
      <c r="B87" s="6" t="s">
        <v>8</v>
      </c>
      <c r="C87" s="7">
        <f>AVERAGE(C82:C86)</f>
        <v>75.786000000000001</v>
      </c>
      <c r="D87" s="7">
        <f>AVERAGE(D82:D86)</f>
        <v>76.328000000000003</v>
      </c>
      <c r="E87" s="11">
        <f>AVERAGE(E82:E86)</f>
        <v>77.3964</v>
      </c>
      <c r="F87" s="127"/>
      <c r="G87" s="6" t="s">
        <v>8</v>
      </c>
      <c r="H87" s="7">
        <f>AVERAGE(H82:H86)</f>
        <v>76.171999999999997</v>
      </c>
      <c r="I87" s="7">
        <f>AVERAGE(I82:I86)</f>
        <v>77.11</v>
      </c>
      <c r="J87" s="11">
        <f>AVERAGE(J82:J86)</f>
        <v>77.707200000000014</v>
      </c>
      <c r="K87" s="110"/>
      <c r="L87" s="6" t="s">
        <v>8</v>
      </c>
      <c r="M87" s="7">
        <f>AVERAGE(M82:M86)</f>
        <v>78.47999999999999</v>
      </c>
      <c r="N87" s="7">
        <f>AVERAGE(N82:N86)</f>
        <v>79.281999999999996</v>
      </c>
      <c r="O87" s="11">
        <f>AVERAGE(O82:O86)</f>
        <v>80.003999999999991</v>
      </c>
    </row>
    <row r="88" spans="1:15" x14ac:dyDescent="0.2">
      <c r="A88" s="109">
        <v>64</v>
      </c>
      <c r="B88" s="1">
        <v>13</v>
      </c>
      <c r="C88" s="4">
        <v>76</v>
      </c>
      <c r="D88" s="4">
        <v>75.77</v>
      </c>
      <c r="E88" s="9">
        <v>77.471000000000004</v>
      </c>
      <c r="F88" s="109">
        <v>64</v>
      </c>
      <c r="G88" s="1">
        <v>13</v>
      </c>
      <c r="H88" s="4">
        <v>77.37</v>
      </c>
      <c r="I88" s="4">
        <v>77.150000000000006</v>
      </c>
      <c r="J88" s="9">
        <v>79.176000000000002</v>
      </c>
      <c r="K88" s="109">
        <v>64</v>
      </c>
      <c r="L88" s="1">
        <v>13</v>
      </c>
      <c r="M88" s="112"/>
      <c r="N88" s="113"/>
      <c r="O88" s="114"/>
    </row>
    <row r="89" spans="1:15" x14ac:dyDescent="0.2">
      <c r="A89" s="109"/>
      <c r="B89" s="1">
        <v>21</v>
      </c>
      <c r="C89" s="4">
        <v>75.48</v>
      </c>
      <c r="D89" s="4">
        <v>75.38</v>
      </c>
      <c r="E89" s="9">
        <v>77.478999999999999</v>
      </c>
      <c r="F89" s="109"/>
      <c r="G89" s="1">
        <v>21</v>
      </c>
      <c r="H89" s="4">
        <v>76.319999999999993</v>
      </c>
      <c r="I89" s="4">
        <v>76.78</v>
      </c>
      <c r="J89" s="9">
        <v>78.650000000000006</v>
      </c>
      <c r="K89" s="109"/>
      <c r="L89" s="1">
        <v>21</v>
      </c>
      <c r="M89" s="115"/>
      <c r="N89" s="115"/>
      <c r="O89" s="116"/>
    </row>
    <row r="90" spans="1:15" x14ac:dyDescent="0.2">
      <c r="A90" s="109"/>
      <c r="B90" s="1">
        <v>47</v>
      </c>
      <c r="C90" s="4">
        <v>74.900000000000006</v>
      </c>
      <c r="D90" s="4">
        <v>75.540000000000006</v>
      </c>
      <c r="E90" s="9">
        <v>77.132000000000005</v>
      </c>
      <c r="F90" s="109"/>
      <c r="G90" s="1">
        <v>47</v>
      </c>
      <c r="H90" s="4">
        <v>76.64</v>
      </c>
      <c r="I90" s="4">
        <v>78.040000000000006</v>
      </c>
      <c r="J90" s="9">
        <v>78.724999999999994</v>
      </c>
      <c r="K90" s="109"/>
      <c r="L90" s="1">
        <v>47</v>
      </c>
      <c r="M90" s="115"/>
      <c r="N90" s="115"/>
      <c r="O90" s="116"/>
    </row>
    <row r="91" spans="1:15" x14ac:dyDescent="0.2">
      <c r="A91" s="109"/>
      <c r="B91" s="1">
        <v>50</v>
      </c>
      <c r="C91" s="4">
        <v>75.510000000000005</v>
      </c>
      <c r="D91" s="4">
        <v>76.180000000000007</v>
      </c>
      <c r="E91" s="9">
        <v>76.198999999999998</v>
      </c>
      <c r="F91" s="109"/>
      <c r="G91" s="1">
        <v>50</v>
      </c>
      <c r="H91" s="4">
        <v>76.760000000000005</v>
      </c>
      <c r="I91" s="4">
        <v>77.55</v>
      </c>
      <c r="J91" s="9">
        <v>78.201999999999998</v>
      </c>
      <c r="K91" s="109"/>
      <c r="L91" s="1">
        <v>50</v>
      </c>
      <c r="M91" s="115"/>
      <c r="N91" s="115"/>
      <c r="O91" s="116"/>
    </row>
    <row r="92" spans="1:15" x14ac:dyDescent="0.2">
      <c r="A92" s="109"/>
      <c r="B92" s="2">
        <v>91</v>
      </c>
      <c r="C92" s="5">
        <v>75.31</v>
      </c>
      <c r="D92" s="5">
        <v>75.739999999999995</v>
      </c>
      <c r="E92" s="10">
        <v>76.340999999999994</v>
      </c>
      <c r="F92" s="109"/>
      <c r="G92" s="2">
        <v>91</v>
      </c>
      <c r="H92" s="5">
        <v>76.88</v>
      </c>
      <c r="I92" s="5">
        <v>77.5</v>
      </c>
      <c r="J92" s="10">
        <v>78.716999999999999</v>
      </c>
      <c r="K92" s="109"/>
      <c r="L92" s="2">
        <v>91</v>
      </c>
      <c r="M92" s="117"/>
      <c r="N92" s="117"/>
      <c r="O92" s="118"/>
    </row>
    <row r="93" spans="1:15" x14ac:dyDescent="0.2">
      <c r="A93" s="110"/>
      <c r="B93" s="6" t="s">
        <v>8</v>
      </c>
      <c r="C93" s="7">
        <f>AVERAGE(C88:C92)</f>
        <v>75.440000000000012</v>
      </c>
      <c r="D93" s="7">
        <f>AVERAGE(D88:D92)</f>
        <v>75.722000000000008</v>
      </c>
      <c r="E93" s="11">
        <f>AVERAGE(E88:E92)</f>
        <v>76.924400000000006</v>
      </c>
      <c r="F93" s="110"/>
      <c r="G93" s="6" t="s">
        <v>8</v>
      </c>
      <c r="H93" s="7">
        <f>AVERAGE(H88:H92)</f>
        <v>76.793999999999997</v>
      </c>
      <c r="I93" s="7">
        <f>AVERAGE(I88:I92)</f>
        <v>77.404000000000011</v>
      </c>
      <c r="J93" s="11">
        <f>AVERAGE(J88:J92)</f>
        <v>78.694000000000003</v>
      </c>
      <c r="K93" s="110"/>
      <c r="L93" s="6" t="s">
        <v>8</v>
      </c>
      <c r="M93" s="7" t="e">
        <f>AVERAGE(M88:M92)</f>
        <v>#DIV/0!</v>
      </c>
      <c r="N93" s="7" t="e">
        <f t="shared" ref="N93:O93" si="16">AVERAGE(N88:N92)</f>
        <v>#DIV/0!</v>
      </c>
      <c r="O93" s="11" t="e">
        <f t="shared" si="16"/>
        <v>#DIV/0!</v>
      </c>
    </row>
    <row r="94" spans="1:15" x14ac:dyDescent="0.2">
      <c r="D94" s="84">
        <f>D93-D75</f>
        <v>5.0740000000000123</v>
      </c>
    </row>
    <row r="96" spans="1:15" x14ac:dyDescent="0.2">
      <c r="A96" s="108" t="s">
        <v>15</v>
      </c>
      <c r="B96" s="108"/>
      <c r="C96" s="108"/>
      <c r="D96" s="108"/>
      <c r="E96" s="111"/>
      <c r="F96" s="108" t="s">
        <v>16</v>
      </c>
      <c r="G96" s="108"/>
      <c r="H96" s="108"/>
      <c r="I96" s="108"/>
      <c r="J96" s="111"/>
      <c r="K96" s="108" t="s">
        <v>17</v>
      </c>
      <c r="L96" s="108"/>
      <c r="M96" s="108"/>
      <c r="N96" s="108"/>
      <c r="O96" s="111"/>
    </row>
    <row r="97" spans="1:15" x14ac:dyDescent="0.2">
      <c r="A97" s="3" t="s">
        <v>3</v>
      </c>
      <c r="B97" s="3" t="s">
        <v>4</v>
      </c>
      <c r="C97" s="3" t="s">
        <v>5</v>
      </c>
      <c r="D97" s="3" t="s">
        <v>6</v>
      </c>
      <c r="E97" s="12" t="s">
        <v>7</v>
      </c>
      <c r="F97" s="3" t="s">
        <v>3</v>
      </c>
      <c r="G97" s="3" t="s">
        <v>4</v>
      </c>
      <c r="H97" s="3" t="s">
        <v>5</v>
      </c>
      <c r="I97" s="3" t="s">
        <v>6</v>
      </c>
      <c r="J97" s="12" t="s">
        <v>7</v>
      </c>
      <c r="K97" s="3" t="s">
        <v>3</v>
      </c>
      <c r="L97" s="3" t="s">
        <v>4</v>
      </c>
      <c r="M97" s="3" t="s">
        <v>5</v>
      </c>
      <c r="N97" s="3" t="s">
        <v>6</v>
      </c>
      <c r="O97" s="12" t="s">
        <v>7</v>
      </c>
    </row>
    <row r="98" spans="1:15" x14ac:dyDescent="0.2">
      <c r="A98" s="109">
        <v>8</v>
      </c>
      <c r="B98" s="1">
        <v>13</v>
      </c>
      <c r="C98" s="1">
        <v>73.11</v>
      </c>
      <c r="D98" s="1">
        <v>73.45</v>
      </c>
      <c r="E98" s="8">
        <v>72.852999999999994</v>
      </c>
      <c r="F98" s="109">
        <v>8</v>
      </c>
      <c r="G98" s="1">
        <v>13</v>
      </c>
      <c r="H98" s="21">
        <v>75.459999999999994</v>
      </c>
      <c r="I98" s="21">
        <v>75.8</v>
      </c>
      <c r="J98" s="22">
        <v>74.994</v>
      </c>
      <c r="K98" s="109">
        <v>8</v>
      </c>
      <c r="L98" s="1">
        <v>13</v>
      </c>
      <c r="M98" s="1">
        <v>76.650000000000006</v>
      </c>
      <c r="N98" s="1">
        <v>77.099999999999994</v>
      </c>
      <c r="O98" s="8">
        <v>76.984999999999999</v>
      </c>
    </row>
    <row r="99" spans="1:15" x14ac:dyDescent="0.2">
      <c r="A99" s="109"/>
      <c r="B99" s="1">
        <v>21</v>
      </c>
      <c r="C99" s="4">
        <v>70.17</v>
      </c>
      <c r="D99" s="4">
        <v>70.599999999999994</v>
      </c>
      <c r="E99" s="9">
        <v>67.991</v>
      </c>
      <c r="F99" s="109"/>
      <c r="G99" s="1">
        <v>21</v>
      </c>
      <c r="H99" s="1">
        <v>73.52</v>
      </c>
      <c r="I99" s="1">
        <v>73.239999999999995</v>
      </c>
      <c r="J99" s="8">
        <v>74.503</v>
      </c>
      <c r="K99" s="109"/>
      <c r="L99" s="1">
        <v>21</v>
      </c>
      <c r="M99" s="4">
        <v>74.040000000000006</v>
      </c>
      <c r="N99" s="4">
        <v>73.67</v>
      </c>
      <c r="O99" s="9">
        <v>73.082999999999998</v>
      </c>
    </row>
    <row r="100" spans="1:15" x14ac:dyDescent="0.2">
      <c r="A100" s="109"/>
      <c r="B100" s="1">
        <v>47</v>
      </c>
      <c r="C100" s="4">
        <v>71.790000000000006</v>
      </c>
      <c r="D100" s="4">
        <v>72.150000000000006</v>
      </c>
      <c r="E100" s="9">
        <v>71.668000000000006</v>
      </c>
      <c r="F100" s="109"/>
      <c r="G100" s="1">
        <v>47</v>
      </c>
      <c r="H100" s="4">
        <v>73.650000000000006</v>
      </c>
      <c r="I100" s="4">
        <v>74.62</v>
      </c>
      <c r="J100" s="9">
        <v>74.471999999999994</v>
      </c>
      <c r="K100" s="109"/>
      <c r="L100" s="1">
        <v>47</v>
      </c>
      <c r="M100" s="4">
        <v>76.959999999999994</v>
      </c>
      <c r="N100" s="4">
        <v>77.260000000000005</v>
      </c>
      <c r="O100" s="9">
        <v>76.391999999999996</v>
      </c>
    </row>
    <row r="101" spans="1:15" x14ac:dyDescent="0.2">
      <c r="A101" s="109"/>
      <c r="B101" s="1">
        <v>50</v>
      </c>
      <c r="C101" s="4">
        <v>72.86</v>
      </c>
      <c r="D101" s="4">
        <v>72.8</v>
      </c>
      <c r="E101" s="9">
        <v>71.480999999999995</v>
      </c>
      <c r="F101" s="109"/>
      <c r="G101" s="1">
        <v>50</v>
      </c>
      <c r="H101" s="4">
        <v>74.06</v>
      </c>
      <c r="I101" s="4">
        <v>73.260000000000005</v>
      </c>
      <c r="J101" s="9">
        <v>72.289000000000001</v>
      </c>
      <c r="K101" s="109"/>
      <c r="L101" s="1">
        <v>50</v>
      </c>
      <c r="M101" s="4">
        <v>76.75</v>
      </c>
      <c r="N101" s="4">
        <v>75.8</v>
      </c>
      <c r="O101" s="9">
        <v>73.45</v>
      </c>
    </row>
    <row r="102" spans="1:15" x14ac:dyDescent="0.2">
      <c r="A102" s="109"/>
      <c r="B102" s="2">
        <v>91</v>
      </c>
      <c r="C102" s="5">
        <v>73.22</v>
      </c>
      <c r="D102" s="5">
        <v>72.91</v>
      </c>
      <c r="E102" s="10">
        <v>72.427000000000007</v>
      </c>
      <c r="F102" s="109"/>
      <c r="G102" s="2">
        <v>91</v>
      </c>
      <c r="H102" s="5">
        <v>74.69</v>
      </c>
      <c r="I102" s="5">
        <v>74.14</v>
      </c>
      <c r="J102" s="10">
        <v>72.394999999999996</v>
      </c>
      <c r="K102" s="109"/>
      <c r="L102" s="2">
        <v>91</v>
      </c>
      <c r="M102" s="5">
        <v>77.03</v>
      </c>
      <c r="N102" s="5">
        <v>76.72</v>
      </c>
      <c r="O102" s="10">
        <v>76.400999999999996</v>
      </c>
    </row>
    <row r="103" spans="1:15" x14ac:dyDescent="0.2">
      <c r="A103" s="110"/>
      <c r="B103" s="6" t="s">
        <v>8</v>
      </c>
      <c r="C103" s="7">
        <f>AVERAGE(C98:C102)</f>
        <v>72.22999999999999</v>
      </c>
      <c r="D103" s="7">
        <f>AVERAGE(D98:D102)</f>
        <v>72.381999999999991</v>
      </c>
      <c r="E103" s="11">
        <f>AVERAGE(E98:E102)</f>
        <v>71.284000000000006</v>
      </c>
      <c r="F103" s="110"/>
      <c r="G103" s="6" t="s">
        <v>8</v>
      </c>
      <c r="H103" s="7">
        <f>AVERAGE(H98:H102)</f>
        <v>74.275999999999996</v>
      </c>
      <c r="I103" s="7">
        <f>AVERAGE(I98:I102)</f>
        <v>74.212000000000003</v>
      </c>
      <c r="J103" s="11">
        <f>AVERAGE(J98:J102)</f>
        <v>73.730599999999995</v>
      </c>
      <c r="K103" s="110"/>
      <c r="L103" s="6" t="s">
        <v>8</v>
      </c>
      <c r="M103" s="7">
        <f>AVERAGE(M98:M102)</f>
        <v>76.285999999999987</v>
      </c>
      <c r="N103" s="7">
        <f>AVERAGE(N98:N102)</f>
        <v>76.109999999999985</v>
      </c>
      <c r="O103" s="11">
        <f>AVERAGE(O98:O102)</f>
        <v>75.262199999999993</v>
      </c>
    </row>
    <row r="104" spans="1:15" x14ac:dyDescent="0.2">
      <c r="A104" s="109">
        <v>16</v>
      </c>
      <c r="B104" s="1">
        <v>13</v>
      </c>
      <c r="C104" s="4">
        <v>72.290000000000006</v>
      </c>
      <c r="D104" s="4">
        <v>72.38</v>
      </c>
      <c r="E104" s="9">
        <v>72.067999999999998</v>
      </c>
      <c r="F104" s="109">
        <v>16</v>
      </c>
      <c r="G104" s="1">
        <v>13</v>
      </c>
      <c r="H104" s="4">
        <v>74.540000000000006</v>
      </c>
      <c r="I104" s="4">
        <v>75.14</v>
      </c>
      <c r="J104" s="9">
        <v>73.728999999999999</v>
      </c>
      <c r="K104" s="109">
        <v>16</v>
      </c>
      <c r="L104" s="1">
        <v>13</v>
      </c>
      <c r="M104" s="4">
        <v>76.66</v>
      </c>
      <c r="N104" s="4">
        <v>77.099999999999994</v>
      </c>
      <c r="O104" s="9">
        <v>76.927000000000007</v>
      </c>
    </row>
    <row r="105" spans="1:15" x14ac:dyDescent="0.2">
      <c r="A105" s="109"/>
      <c r="B105" s="1">
        <v>21</v>
      </c>
      <c r="C105" s="4">
        <v>71.38</v>
      </c>
      <c r="D105" s="4">
        <v>71.73</v>
      </c>
      <c r="E105" s="9">
        <v>70.668999999999997</v>
      </c>
      <c r="F105" s="109"/>
      <c r="G105" s="1">
        <v>21</v>
      </c>
      <c r="H105" s="4">
        <v>73.47</v>
      </c>
      <c r="I105" s="4">
        <v>73.78</v>
      </c>
      <c r="J105" s="9">
        <v>72.632000000000005</v>
      </c>
      <c r="K105" s="109"/>
      <c r="L105" s="1">
        <v>21</v>
      </c>
      <c r="M105" s="4">
        <v>76.510000000000005</v>
      </c>
      <c r="N105" s="4">
        <v>76.41</v>
      </c>
      <c r="O105" s="9">
        <v>76.111000000000004</v>
      </c>
    </row>
    <row r="106" spans="1:15" x14ac:dyDescent="0.2">
      <c r="A106" s="109"/>
      <c r="B106" s="1">
        <v>47</v>
      </c>
      <c r="C106" s="4">
        <v>71.62</v>
      </c>
      <c r="D106" s="4">
        <v>71.86</v>
      </c>
      <c r="E106" s="9">
        <v>71.625</v>
      </c>
      <c r="F106" s="109"/>
      <c r="G106" s="1">
        <v>47</v>
      </c>
      <c r="H106" s="4">
        <v>74.239999999999995</v>
      </c>
      <c r="I106" s="4">
        <v>74.790000000000006</v>
      </c>
      <c r="J106" s="9">
        <v>74.581000000000003</v>
      </c>
      <c r="K106" s="109"/>
      <c r="L106" s="1">
        <v>47</v>
      </c>
      <c r="M106" s="4">
        <v>76.61</v>
      </c>
      <c r="N106" s="4">
        <v>76.91</v>
      </c>
      <c r="O106" s="9">
        <v>77.251000000000005</v>
      </c>
    </row>
    <row r="107" spans="1:15" x14ac:dyDescent="0.2">
      <c r="A107" s="109"/>
      <c r="B107" s="1">
        <v>50</v>
      </c>
      <c r="C107" s="4">
        <v>72.88</v>
      </c>
      <c r="D107" s="4">
        <v>72.319999999999993</v>
      </c>
      <c r="E107" s="9">
        <v>72.64</v>
      </c>
      <c r="F107" s="109"/>
      <c r="G107" s="1">
        <v>50</v>
      </c>
      <c r="H107" s="4">
        <v>75.17</v>
      </c>
      <c r="I107" s="4">
        <v>74.81</v>
      </c>
      <c r="J107" s="9">
        <v>74.536000000000001</v>
      </c>
      <c r="K107" s="109"/>
      <c r="L107" s="1">
        <v>50</v>
      </c>
      <c r="M107" s="4">
        <v>77.36</v>
      </c>
      <c r="N107" s="4">
        <v>77.06</v>
      </c>
      <c r="O107" s="9">
        <v>76.978999999999999</v>
      </c>
    </row>
    <row r="108" spans="1:15" x14ac:dyDescent="0.2">
      <c r="A108" s="109"/>
      <c r="B108" s="2">
        <v>91</v>
      </c>
      <c r="C108" s="5">
        <v>73.25</v>
      </c>
      <c r="D108" s="5">
        <v>72.92</v>
      </c>
      <c r="E108" s="10">
        <v>72.394000000000005</v>
      </c>
      <c r="F108" s="109"/>
      <c r="G108" s="2">
        <v>91</v>
      </c>
      <c r="H108" s="5">
        <v>75.48</v>
      </c>
      <c r="I108" s="5">
        <v>75.16</v>
      </c>
      <c r="J108" s="10">
        <v>74.587999999999994</v>
      </c>
      <c r="K108" s="109"/>
      <c r="L108" s="2">
        <v>91</v>
      </c>
      <c r="M108" s="5">
        <v>77.59</v>
      </c>
      <c r="N108" s="5">
        <v>77.010000000000005</v>
      </c>
      <c r="O108" s="10">
        <v>76.108000000000004</v>
      </c>
    </row>
    <row r="109" spans="1:15" x14ac:dyDescent="0.2">
      <c r="A109" s="110"/>
      <c r="B109" s="6" t="s">
        <v>8</v>
      </c>
      <c r="C109" s="7">
        <f>AVERAGE(C104:C108)</f>
        <v>72.284000000000006</v>
      </c>
      <c r="D109" s="7">
        <f>AVERAGE(D104:D108)</f>
        <v>72.242000000000004</v>
      </c>
      <c r="E109" s="11">
        <f>AVERAGE(E104:E108)</f>
        <v>71.879199999999997</v>
      </c>
      <c r="F109" s="110"/>
      <c r="G109" s="6" t="s">
        <v>8</v>
      </c>
      <c r="H109" s="7">
        <f>AVERAGE(H104:H108)</f>
        <v>74.580000000000013</v>
      </c>
      <c r="I109" s="7">
        <f>AVERAGE(I104:I108)</f>
        <v>74.736000000000018</v>
      </c>
      <c r="J109" s="11">
        <f>AVERAGE(J104:J108)</f>
        <v>74.013200000000012</v>
      </c>
      <c r="K109" s="110"/>
      <c r="L109" s="6" t="s">
        <v>8</v>
      </c>
      <c r="M109" s="7">
        <f>AVERAGE(M104:M108)</f>
        <v>76.945999999999998</v>
      </c>
      <c r="N109" s="7">
        <f>AVERAGE(N104:N108)</f>
        <v>76.897999999999996</v>
      </c>
      <c r="O109" s="11">
        <f>AVERAGE(O104:O108)</f>
        <v>76.675200000000004</v>
      </c>
    </row>
    <row r="110" spans="1:15" x14ac:dyDescent="0.2">
      <c r="A110" s="109">
        <v>32</v>
      </c>
      <c r="B110" s="1">
        <v>13</v>
      </c>
      <c r="C110" s="1">
        <v>72.150000000000006</v>
      </c>
      <c r="D110" s="4">
        <v>72.7</v>
      </c>
      <c r="E110" s="9">
        <v>71.941999999999993</v>
      </c>
      <c r="F110" s="109">
        <v>32</v>
      </c>
      <c r="G110" s="1">
        <v>13</v>
      </c>
      <c r="H110" s="4">
        <v>73.58</v>
      </c>
      <c r="I110" s="4">
        <v>74.06</v>
      </c>
      <c r="J110" s="9">
        <v>73.311999999999998</v>
      </c>
      <c r="K110" s="109">
        <v>32</v>
      </c>
      <c r="L110" s="1">
        <v>13</v>
      </c>
      <c r="M110" s="4">
        <v>76.66</v>
      </c>
      <c r="N110" s="4">
        <v>76.91</v>
      </c>
      <c r="O110" s="9">
        <v>76.016000000000005</v>
      </c>
    </row>
    <row r="111" spans="1:15" x14ac:dyDescent="0.2">
      <c r="A111" s="109"/>
      <c r="B111" s="1">
        <v>21</v>
      </c>
      <c r="C111" s="4">
        <v>71.489999999999995</v>
      </c>
      <c r="D111" s="4">
        <v>71.81</v>
      </c>
      <c r="E111" s="9">
        <v>71.438000000000002</v>
      </c>
      <c r="F111" s="109"/>
      <c r="G111" s="1">
        <v>21</v>
      </c>
      <c r="H111" s="4">
        <v>73.38</v>
      </c>
      <c r="I111" s="4">
        <v>73.31</v>
      </c>
      <c r="J111" s="9">
        <v>72.625</v>
      </c>
      <c r="K111" s="109"/>
      <c r="L111" s="1">
        <v>21</v>
      </c>
      <c r="M111" s="4">
        <v>76.45</v>
      </c>
      <c r="N111" s="4">
        <v>76.33</v>
      </c>
      <c r="O111" s="9">
        <v>75.156999999999996</v>
      </c>
    </row>
    <row r="112" spans="1:15" x14ac:dyDescent="0.2">
      <c r="A112" s="109"/>
      <c r="B112" s="1">
        <v>47</v>
      </c>
      <c r="C112" s="4">
        <v>71.7</v>
      </c>
      <c r="D112" s="4">
        <v>71.739999999999995</v>
      </c>
      <c r="E112" s="9">
        <v>72.322000000000003</v>
      </c>
      <c r="F112" s="109"/>
      <c r="G112" s="1">
        <v>47</v>
      </c>
      <c r="H112" s="4">
        <v>74.08</v>
      </c>
      <c r="I112" s="4">
        <v>74.86</v>
      </c>
      <c r="J112" s="9">
        <v>73.632999999999996</v>
      </c>
      <c r="K112" s="109"/>
      <c r="L112" s="1">
        <v>47</v>
      </c>
      <c r="M112" s="4">
        <v>75.84</v>
      </c>
      <c r="N112" s="4">
        <v>76.55</v>
      </c>
      <c r="O112" s="9">
        <v>76.918999999999997</v>
      </c>
    </row>
    <row r="113" spans="1:18" x14ac:dyDescent="0.2">
      <c r="A113" s="109"/>
      <c r="B113" s="1">
        <v>50</v>
      </c>
      <c r="C113" s="4">
        <v>72.38</v>
      </c>
      <c r="D113" s="4">
        <v>72.650000000000006</v>
      </c>
      <c r="E113" s="9">
        <v>70.415999999999997</v>
      </c>
      <c r="F113" s="109"/>
      <c r="G113" s="1">
        <v>50</v>
      </c>
      <c r="H113" s="4">
        <v>74.02</v>
      </c>
      <c r="I113" s="4">
        <v>74.08</v>
      </c>
      <c r="J113" s="9">
        <v>71.766999999999996</v>
      </c>
      <c r="K113" s="109"/>
      <c r="L113" s="1">
        <v>50</v>
      </c>
      <c r="M113" s="4">
        <v>77.36</v>
      </c>
      <c r="N113" s="4">
        <v>77.099999999999994</v>
      </c>
      <c r="O113" s="9">
        <v>76.293999999999997</v>
      </c>
    </row>
    <row r="114" spans="1:18" x14ac:dyDescent="0.2">
      <c r="A114" s="109"/>
      <c r="B114" s="2">
        <v>91</v>
      </c>
      <c r="C114" s="5">
        <v>73.11</v>
      </c>
      <c r="D114" s="5">
        <v>73.34</v>
      </c>
      <c r="E114" s="10">
        <v>71.433999999999997</v>
      </c>
      <c r="F114" s="109"/>
      <c r="G114" s="2">
        <v>91</v>
      </c>
      <c r="H114" s="5">
        <v>74.400000000000006</v>
      </c>
      <c r="I114" s="5">
        <v>74.14</v>
      </c>
      <c r="J114" s="10">
        <v>73.436999999999998</v>
      </c>
      <c r="K114" s="109"/>
      <c r="L114" s="2">
        <v>91</v>
      </c>
      <c r="M114" s="5">
        <v>77.459999999999994</v>
      </c>
      <c r="N114" s="5">
        <v>77.28</v>
      </c>
      <c r="O114" s="10">
        <v>76.894000000000005</v>
      </c>
    </row>
    <row r="115" spans="1:18" x14ac:dyDescent="0.2">
      <c r="A115" s="110"/>
      <c r="B115" s="6" t="s">
        <v>8</v>
      </c>
      <c r="C115" s="7">
        <f>AVERAGE(C110:C114)</f>
        <v>72.165999999999997</v>
      </c>
      <c r="D115" s="7">
        <f>AVERAGE(D110:D114)</f>
        <v>72.448000000000008</v>
      </c>
      <c r="E115" s="11">
        <f>AVERAGE(E110:E114)</f>
        <v>71.510400000000004</v>
      </c>
      <c r="F115" s="110"/>
      <c r="G115" s="6" t="s">
        <v>8</v>
      </c>
      <c r="H115" s="7">
        <f>AVERAGE(H110:H114)</f>
        <v>73.891999999999982</v>
      </c>
      <c r="I115" s="7">
        <f>AVERAGE(I110:I114)</f>
        <v>74.09</v>
      </c>
      <c r="J115" s="11">
        <f>AVERAGE(J110:J114)</f>
        <v>72.954800000000006</v>
      </c>
      <c r="K115" s="110"/>
      <c r="L115" s="6" t="s">
        <v>8</v>
      </c>
      <c r="M115" s="7">
        <f>AVERAGE(M110:M114)</f>
        <v>76.753999999999991</v>
      </c>
      <c r="N115" s="7">
        <f>AVERAGE(N110:N114)</f>
        <v>76.833999999999989</v>
      </c>
      <c r="O115" s="11">
        <f>AVERAGE(O110:O114)</f>
        <v>76.256</v>
      </c>
    </row>
    <row r="116" spans="1:18" x14ac:dyDescent="0.2">
      <c r="A116" s="109">
        <v>64</v>
      </c>
      <c r="B116" s="1">
        <v>13</v>
      </c>
      <c r="C116" s="4">
        <v>71.099999999999994</v>
      </c>
      <c r="D116" s="4">
        <v>71.28</v>
      </c>
      <c r="E116" s="9">
        <v>71.296999999999997</v>
      </c>
      <c r="F116" s="109">
        <v>64</v>
      </c>
      <c r="G116" s="1">
        <v>13</v>
      </c>
      <c r="H116" s="4">
        <v>72.900000000000006</v>
      </c>
      <c r="I116" s="4">
        <v>73.11</v>
      </c>
      <c r="J116" s="9">
        <v>73.796999999999997</v>
      </c>
      <c r="K116" s="109">
        <v>64</v>
      </c>
      <c r="L116" s="1">
        <v>13</v>
      </c>
      <c r="M116" s="112"/>
      <c r="N116" s="113"/>
      <c r="O116" s="114"/>
    </row>
    <row r="117" spans="1:18" x14ac:dyDescent="0.2">
      <c r="A117" s="109"/>
      <c r="B117" s="1">
        <v>21</v>
      </c>
      <c r="C117" s="4">
        <v>71.09</v>
      </c>
      <c r="D117" s="4">
        <v>71.2</v>
      </c>
      <c r="E117" s="9">
        <v>70.887</v>
      </c>
      <c r="F117" s="109"/>
      <c r="G117" s="1">
        <v>21</v>
      </c>
      <c r="H117" s="4">
        <v>72.64</v>
      </c>
      <c r="I117" s="4">
        <v>73.12</v>
      </c>
      <c r="J117" s="9">
        <v>72.156999999999996</v>
      </c>
      <c r="K117" s="109"/>
      <c r="L117" s="1">
        <v>21</v>
      </c>
      <c r="M117" s="115"/>
      <c r="N117" s="115"/>
      <c r="O117" s="116"/>
    </row>
    <row r="118" spans="1:18" x14ac:dyDescent="0.2">
      <c r="A118" s="109"/>
      <c r="B118" s="1">
        <v>47</v>
      </c>
      <c r="C118" s="4">
        <v>71.36</v>
      </c>
      <c r="D118" s="4">
        <v>72.2</v>
      </c>
      <c r="E118" s="9">
        <v>71.228999999999999</v>
      </c>
      <c r="F118" s="109"/>
      <c r="G118" s="1">
        <v>47</v>
      </c>
      <c r="H118" s="4">
        <v>72.34</v>
      </c>
      <c r="I118" s="4">
        <v>73.040000000000006</v>
      </c>
      <c r="J118" s="9">
        <v>71.953999999999994</v>
      </c>
      <c r="K118" s="109"/>
      <c r="L118" s="1">
        <v>47</v>
      </c>
      <c r="M118" s="115"/>
      <c r="N118" s="115"/>
      <c r="O118" s="116"/>
    </row>
    <row r="119" spans="1:18" x14ac:dyDescent="0.2">
      <c r="A119" s="109"/>
      <c r="B119" s="1">
        <v>50</v>
      </c>
      <c r="C119" s="4">
        <v>72.260000000000005</v>
      </c>
      <c r="D119" s="4">
        <v>72.45</v>
      </c>
      <c r="E119" s="9">
        <v>72.248999999999995</v>
      </c>
      <c r="F119" s="109"/>
      <c r="G119" s="1">
        <v>50</v>
      </c>
      <c r="H119" s="4">
        <v>73.89</v>
      </c>
      <c r="I119" s="4">
        <v>73.989999999999995</v>
      </c>
      <c r="J119" s="9">
        <v>74.337000000000003</v>
      </c>
      <c r="K119" s="109"/>
      <c r="L119" s="1">
        <v>50</v>
      </c>
      <c r="M119" s="115"/>
      <c r="N119" s="115"/>
      <c r="O119" s="116"/>
    </row>
    <row r="120" spans="1:18" x14ac:dyDescent="0.2">
      <c r="A120" s="109"/>
      <c r="B120" s="2">
        <v>91</v>
      </c>
      <c r="C120" s="5">
        <v>72.09</v>
      </c>
      <c r="D120" s="5">
        <v>71.89</v>
      </c>
      <c r="E120" s="10">
        <v>71.369</v>
      </c>
      <c r="F120" s="109"/>
      <c r="G120" s="2">
        <v>91</v>
      </c>
      <c r="H120" s="5">
        <v>74.11</v>
      </c>
      <c r="I120" s="5">
        <v>74.06</v>
      </c>
      <c r="J120" s="5">
        <v>74.06</v>
      </c>
      <c r="K120" s="109"/>
      <c r="L120" s="2">
        <v>91</v>
      </c>
      <c r="M120" s="117"/>
      <c r="N120" s="117"/>
      <c r="O120" s="118"/>
    </row>
    <row r="121" spans="1:18" x14ac:dyDescent="0.2">
      <c r="A121" s="110"/>
      <c r="B121" s="6" t="s">
        <v>8</v>
      </c>
      <c r="C121" s="7">
        <f>AVERAGE(C116:C120)</f>
        <v>71.58</v>
      </c>
      <c r="D121" s="7">
        <f>AVERAGE(D116:D120)</f>
        <v>71.804000000000002</v>
      </c>
      <c r="E121" s="11">
        <f>AVERAGE(E116:E120)</f>
        <v>71.406200000000013</v>
      </c>
      <c r="F121" s="110"/>
      <c r="G121" s="6" t="s">
        <v>8</v>
      </c>
      <c r="H121" s="7">
        <f>AVERAGE(H116:H120)</f>
        <v>73.176000000000016</v>
      </c>
      <c r="I121" s="7">
        <f>AVERAGE(I116:I120)</f>
        <v>73.464000000000013</v>
      </c>
      <c r="J121" s="11">
        <f>AVERAGE(J116:J120)</f>
        <v>73.260999999999996</v>
      </c>
      <c r="K121" s="110"/>
      <c r="L121" s="6" t="s">
        <v>8</v>
      </c>
      <c r="M121" s="7" t="e">
        <f>AVERAGE(M116:M120)</f>
        <v>#DIV/0!</v>
      </c>
      <c r="N121" s="7" t="e">
        <f t="shared" ref="N121:O121" si="17">AVERAGE(N116:N120)</f>
        <v>#DIV/0!</v>
      </c>
      <c r="O121" s="11" t="e">
        <f t="shared" si="17"/>
        <v>#DIV/0!</v>
      </c>
    </row>
    <row r="124" spans="1:18" x14ac:dyDescent="0.2">
      <c r="A124" s="18" t="s">
        <v>20</v>
      </c>
      <c r="B124" s="1"/>
      <c r="C124" s="1" t="s">
        <v>21</v>
      </c>
      <c r="D124" s="1"/>
      <c r="E124" s="1"/>
      <c r="F124" s="1"/>
      <c r="G124" s="1"/>
      <c r="H124" s="1"/>
      <c r="I124" s="1"/>
      <c r="J124" s="1"/>
      <c r="K124" s="1"/>
      <c r="L124" s="1"/>
    </row>
    <row r="125" spans="1:1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8" x14ac:dyDescent="0.2">
      <c r="A126" s="108" t="s">
        <v>0</v>
      </c>
      <c r="B126" s="108"/>
      <c r="C126" s="108"/>
      <c r="D126" s="108"/>
      <c r="E126" s="108" t="s">
        <v>1</v>
      </c>
      <c r="F126" s="108"/>
      <c r="G126" s="108"/>
      <c r="H126" s="108"/>
      <c r="I126" s="108" t="s">
        <v>2</v>
      </c>
      <c r="J126" s="108"/>
      <c r="K126" s="108"/>
      <c r="L126" s="111"/>
      <c r="N126" s="1" t="s">
        <v>4</v>
      </c>
      <c r="O126" s="1" t="s">
        <v>6</v>
      </c>
      <c r="P126" s="2" t="s">
        <v>7</v>
      </c>
      <c r="Q126" s="1" t="s">
        <v>24</v>
      </c>
      <c r="R126" s="8" t="s">
        <v>25</v>
      </c>
    </row>
    <row r="127" spans="1:18" x14ac:dyDescent="0.2">
      <c r="A127" s="3" t="s">
        <v>3</v>
      </c>
      <c r="B127" s="3" t="s">
        <v>4</v>
      </c>
      <c r="C127" s="3" t="s">
        <v>6</v>
      </c>
      <c r="D127" s="12" t="s">
        <v>7</v>
      </c>
      <c r="E127" s="3" t="s">
        <v>3</v>
      </c>
      <c r="F127" s="3" t="s">
        <v>4</v>
      </c>
      <c r="G127" s="3" t="s">
        <v>6</v>
      </c>
      <c r="H127" s="12" t="s">
        <v>7</v>
      </c>
      <c r="I127" s="3" t="s">
        <v>3</v>
      </c>
      <c r="J127" s="3" t="s">
        <v>4</v>
      </c>
      <c r="K127" s="3" t="s">
        <v>6</v>
      </c>
      <c r="L127" s="12" t="s">
        <v>7</v>
      </c>
      <c r="N127" s="28">
        <v>13</v>
      </c>
      <c r="O127" s="51">
        <v>71.28</v>
      </c>
      <c r="P127" s="4">
        <v>72.802999999999997</v>
      </c>
      <c r="Q127" s="25">
        <v>1017</v>
      </c>
      <c r="R127" s="36">
        <v>0.56989999999999996</v>
      </c>
    </row>
    <row r="128" spans="1:18" x14ac:dyDescent="0.2">
      <c r="A128" s="109">
        <v>8</v>
      </c>
      <c r="B128" s="1">
        <v>13</v>
      </c>
      <c r="C128" s="51">
        <v>71.28</v>
      </c>
      <c r="D128" s="9">
        <v>72.802999999999997</v>
      </c>
      <c r="E128" s="109">
        <v>8</v>
      </c>
      <c r="F128" s="1">
        <v>13</v>
      </c>
      <c r="G128" s="1">
        <v>72.72</v>
      </c>
      <c r="H128" s="4">
        <v>72.105999999999995</v>
      </c>
      <c r="I128" s="109">
        <v>8</v>
      </c>
      <c r="J128" s="1">
        <v>13</v>
      </c>
      <c r="K128" s="1">
        <v>72.67</v>
      </c>
      <c r="L128" s="8">
        <v>72.894999999999996</v>
      </c>
      <c r="N128" s="29">
        <v>21</v>
      </c>
      <c r="O128" s="4">
        <v>71.13</v>
      </c>
      <c r="P128" s="4">
        <v>72.683999999999997</v>
      </c>
      <c r="Q128" s="1">
        <v>1020</v>
      </c>
      <c r="R128" s="33">
        <v>0.57079999999999997</v>
      </c>
    </row>
    <row r="129" spans="1:18" x14ac:dyDescent="0.2">
      <c r="A129" s="109"/>
      <c r="B129" s="1">
        <v>21</v>
      </c>
      <c r="C129" s="4">
        <v>71.13</v>
      </c>
      <c r="D129" s="9">
        <v>72.683999999999997</v>
      </c>
      <c r="E129" s="109"/>
      <c r="F129" s="1">
        <v>21</v>
      </c>
      <c r="G129" s="4">
        <v>72.36</v>
      </c>
      <c r="H129" s="9">
        <v>72.12</v>
      </c>
      <c r="I129" s="109"/>
      <c r="J129" s="1">
        <v>21</v>
      </c>
      <c r="K129" s="4">
        <v>72.95</v>
      </c>
      <c r="L129" s="9">
        <v>72.762</v>
      </c>
      <c r="N129" s="29">
        <v>47</v>
      </c>
      <c r="O129" s="4">
        <v>71.73</v>
      </c>
      <c r="P129" s="4">
        <v>72.013000000000005</v>
      </c>
      <c r="Q129" s="1">
        <v>1224</v>
      </c>
      <c r="R129" s="33">
        <v>0.52400000000000002</v>
      </c>
    </row>
    <row r="130" spans="1:18" x14ac:dyDescent="0.2">
      <c r="A130" s="109"/>
      <c r="B130" s="1">
        <v>47</v>
      </c>
      <c r="C130" s="4">
        <v>71.73</v>
      </c>
      <c r="D130" s="9">
        <v>72.013000000000005</v>
      </c>
      <c r="E130" s="109"/>
      <c r="F130" s="1">
        <v>47</v>
      </c>
      <c r="G130" s="4">
        <v>71.95</v>
      </c>
      <c r="H130" s="9">
        <v>70.066999999999993</v>
      </c>
      <c r="I130" s="109"/>
      <c r="J130" s="1">
        <v>47</v>
      </c>
      <c r="K130" s="4">
        <v>74.06</v>
      </c>
      <c r="L130" s="9">
        <v>74.519000000000005</v>
      </c>
      <c r="N130" s="29">
        <v>50</v>
      </c>
      <c r="O130" s="4">
        <v>71.08</v>
      </c>
      <c r="P130" s="4">
        <v>72.53</v>
      </c>
      <c r="Q130" s="1">
        <v>1043</v>
      </c>
      <c r="R130" s="33">
        <v>0.56669999999999998</v>
      </c>
    </row>
    <row r="131" spans="1:18" x14ac:dyDescent="0.2">
      <c r="A131" s="109"/>
      <c r="B131" s="1">
        <v>50</v>
      </c>
      <c r="C131" s="4">
        <v>71.08</v>
      </c>
      <c r="D131" s="9">
        <v>72.53</v>
      </c>
      <c r="E131" s="109"/>
      <c r="F131" s="1">
        <v>50</v>
      </c>
      <c r="G131" s="4">
        <v>72.48</v>
      </c>
      <c r="H131" s="9">
        <v>72.247</v>
      </c>
      <c r="I131" s="109"/>
      <c r="J131" s="1">
        <v>50</v>
      </c>
      <c r="K131" s="4">
        <v>71.19</v>
      </c>
      <c r="L131" s="9">
        <v>71.272999999999996</v>
      </c>
      <c r="N131" s="30">
        <v>91</v>
      </c>
      <c r="O131" s="27">
        <v>68.42</v>
      </c>
      <c r="P131" s="27">
        <v>70.629000000000005</v>
      </c>
      <c r="Q131" s="26">
        <v>1064</v>
      </c>
      <c r="R131" s="52">
        <v>0.58909999999999996</v>
      </c>
    </row>
    <row r="132" spans="1:18" x14ac:dyDescent="0.2">
      <c r="A132" s="109"/>
      <c r="B132" s="2">
        <v>91</v>
      </c>
      <c r="C132" s="27">
        <v>68.42</v>
      </c>
      <c r="D132" s="65">
        <v>70.629000000000005</v>
      </c>
      <c r="E132" s="109"/>
      <c r="F132" s="2">
        <v>91</v>
      </c>
      <c r="G132" s="5">
        <v>72.03</v>
      </c>
      <c r="H132" s="10">
        <v>71.981999999999999</v>
      </c>
      <c r="I132" s="109"/>
      <c r="J132" s="2">
        <v>91</v>
      </c>
      <c r="K132" s="5">
        <v>72.739999999999995</v>
      </c>
      <c r="L132" s="10">
        <v>72.563999999999993</v>
      </c>
      <c r="N132" s="6" t="s">
        <v>8</v>
      </c>
      <c r="O132" s="7">
        <f>AVERAGE(O127:O131)</f>
        <v>70.727999999999994</v>
      </c>
      <c r="P132" s="7">
        <f>AVERAGE(P127:P131)</f>
        <v>72.131799999999998</v>
      </c>
      <c r="Q132" s="35">
        <f>AVERAGE(Q127:Q131)</f>
        <v>1073.5999999999999</v>
      </c>
      <c r="R132" s="34">
        <f>AVERAGE(R127:R131)</f>
        <v>0.56410000000000005</v>
      </c>
    </row>
    <row r="133" spans="1:18" x14ac:dyDescent="0.2">
      <c r="A133" s="110"/>
      <c r="B133" s="6" t="s">
        <v>8</v>
      </c>
      <c r="C133" s="7">
        <f>AVERAGE(C128:C132)</f>
        <v>70.727999999999994</v>
      </c>
      <c r="D133" s="11">
        <f>AVERAGE(D128:D132)</f>
        <v>72.131799999999998</v>
      </c>
      <c r="E133" s="110"/>
      <c r="F133" s="6" t="s">
        <v>8</v>
      </c>
      <c r="G133" s="7">
        <f>AVERAGE(G128:G132)</f>
        <v>72.307999999999993</v>
      </c>
      <c r="H133" s="11">
        <f>AVERAGE(H128:H132)</f>
        <v>71.704400000000007</v>
      </c>
      <c r="I133" s="110"/>
      <c r="J133" s="6" t="s">
        <v>8</v>
      </c>
      <c r="K133" s="7">
        <f>AVERAGE(K128:K132)</f>
        <v>72.722000000000008</v>
      </c>
      <c r="L133" s="11">
        <f>AVERAGE(L128:L132)</f>
        <v>72.802599999999984</v>
      </c>
    </row>
    <row r="134" spans="1:18" x14ac:dyDescent="0.2">
      <c r="A134" s="109">
        <v>16</v>
      </c>
      <c r="B134" s="1">
        <v>13</v>
      </c>
      <c r="C134" s="51">
        <v>75.66</v>
      </c>
      <c r="D134" s="9">
        <v>74.254000000000005</v>
      </c>
      <c r="E134" s="109">
        <v>16</v>
      </c>
      <c r="F134" s="1">
        <v>13</v>
      </c>
      <c r="G134" s="4">
        <v>75.709999999999994</v>
      </c>
      <c r="H134" s="9">
        <v>74.515000000000001</v>
      </c>
      <c r="I134" s="109">
        <v>16</v>
      </c>
      <c r="J134" s="1">
        <v>13</v>
      </c>
      <c r="K134" s="4">
        <v>76.64</v>
      </c>
      <c r="L134" s="9">
        <v>76.513000000000005</v>
      </c>
      <c r="N134" s="1" t="s">
        <v>4</v>
      </c>
      <c r="O134" s="1" t="s">
        <v>6</v>
      </c>
      <c r="P134" s="2" t="s">
        <v>7</v>
      </c>
      <c r="Q134" s="1" t="s">
        <v>24</v>
      </c>
      <c r="R134" s="8" t="s">
        <v>25</v>
      </c>
    </row>
    <row r="135" spans="1:18" x14ac:dyDescent="0.2">
      <c r="A135" s="109"/>
      <c r="B135" s="1">
        <v>21</v>
      </c>
      <c r="C135" s="4">
        <v>74.95</v>
      </c>
      <c r="D135" s="9">
        <v>74.852000000000004</v>
      </c>
      <c r="E135" s="109"/>
      <c r="F135" s="1">
        <v>21</v>
      </c>
      <c r="G135" s="4">
        <v>75.02</v>
      </c>
      <c r="H135" s="9">
        <v>74.650000000000006</v>
      </c>
      <c r="I135" s="109"/>
      <c r="J135" s="1">
        <v>21</v>
      </c>
      <c r="K135" s="4">
        <v>76.849999999999994</v>
      </c>
      <c r="L135" s="9">
        <v>77.548000000000002</v>
      </c>
      <c r="N135" s="28">
        <v>13</v>
      </c>
      <c r="O135" s="51">
        <v>75.66</v>
      </c>
      <c r="P135" s="4">
        <v>74.254000000000005</v>
      </c>
      <c r="Q135" s="25">
        <v>1351</v>
      </c>
      <c r="R135" s="36">
        <v>0.45929999999999999</v>
      </c>
    </row>
    <row r="136" spans="1:18" x14ac:dyDescent="0.2">
      <c r="A136" s="109"/>
      <c r="B136" s="1">
        <v>47</v>
      </c>
      <c r="C136" s="4">
        <v>74.86</v>
      </c>
      <c r="D136" s="9">
        <v>75.63</v>
      </c>
      <c r="E136" s="109"/>
      <c r="F136" s="1">
        <v>47</v>
      </c>
      <c r="G136" s="4">
        <v>75.290000000000006</v>
      </c>
      <c r="H136" s="9">
        <v>74.668999999999997</v>
      </c>
      <c r="I136" s="109"/>
      <c r="J136" s="1">
        <v>47</v>
      </c>
      <c r="K136" s="4">
        <v>77.41</v>
      </c>
      <c r="L136" s="9">
        <v>78.268000000000001</v>
      </c>
      <c r="N136" s="29">
        <v>21</v>
      </c>
      <c r="O136" s="4">
        <v>74.95</v>
      </c>
      <c r="P136" s="4">
        <v>74.852000000000004</v>
      </c>
      <c r="Q136" s="1">
        <v>1133</v>
      </c>
      <c r="R136" s="33">
        <v>0.51</v>
      </c>
    </row>
    <row r="137" spans="1:18" x14ac:dyDescent="0.2">
      <c r="A137" s="109"/>
      <c r="B137" s="1">
        <v>50</v>
      </c>
      <c r="C137" s="4">
        <v>74.569999999999993</v>
      </c>
      <c r="D137" s="9">
        <v>74.311000000000007</v>
      </c>
      <c r="E137" s="109"/>
      <c r="F137" s="1">
        <v>50</v>
      </c>
      <c r="G137" s="4">
        <v>75.709999999999994</v>
      </c>
      <c r="H137" s="9">
        <v>76.197999999999993</v>
      </c>
      <c r="I137" s="109"/>
      <c r="J137" s="1">
        <v>50</v>
      </c>
      <c r="K137" s="4">
        <v>75.08</v>
      </c>
      <c r="L137" s="9">
        <v>74.69</v>
      </c>
      <c r="N137" s="29">
        <v>47</v>
      </c>
      <c r="O137" s="4">
        <v>74.86</v>
      </c>
      <c r="P137" s="4">
        <v>75.63</v>
      </c>
      <c r="Q137" s="1">
        <v>960</v>
      </c>
      <c r="R137" s="33">
        <v>0.54549999999999998</v>
      </c>
    </row>
    <row r="138" spans="1:18" x14ac:dyDescent="0.2">
      <c r="A138" s="109"/>
      <c r="B138" s="2">
        <v>91</v>
      </c>
      <c r="C138" s="27">
        <v>74.22</v>
      </c>
      <c r="D138" s="65">
        <v>74.78</v>
      </c>
      <c r="E138" s="109"/>
      <c r="F138" s="2">
        <v>91</v>
      </c>
      <c r="G138" s="5">
        <v>75.98</v>
      </c>
      <c r="H138" s="10">
        <v>76.953000000000003</v>
      </c>
      <c r="I138" s="109"/>
      <c r="J138" s="2">
        <v>91</v>
      </c>
      <c r="K138" s="5">
        <v>76</v>
      </c>
      <c r="L138" s="10">
        <v>76.694999999999993</v>
      </c>
      <c r="N138" s="29">
        <v>50</v>
      </c>
      <c r="O138" s="4">
        <v>74.569999999999993</v>
      </c>
      <c r="P138" s="4">
        <v>74.311000000000007</v>
      </c>
      <c r="Q138" s="1">
        <v>1183</v>
      </c>
      <c r="R138" s="33">
        <v>0.50380000000000003</v>
      </c>
    </row>
    <row r="139" spans="1:18" x14ac:dyDescent="0.2">
      <c r="A139" s="110"/>
      <c r="B139" s="6" t="s">
        <v>8</v>
      </c>
      <c r="C139" s="7">
        <f>AVERAGE(C134:C138)</f>
        <v>74.852000000000004</v>
      </c>
      <c r="D139" s="11">
        <f>AVERAGE(D134:D138)</f>
        <v>74.7654</v>
      </c>
      <c r="E139" s="110"/>
      <c r="F139" s="6" t="s">
        <v>8</v>
      </c>
      <c r="G139" s="7">
        <f>AVERAGE(G134:G138)</f>
        <v>75.542000000000002</v>
      </c>
      <c r="H139" s="11">
        <f>AVERAGE(H134:H138)</f>
        <v>75.397000000000006</v>
      </c>
      <c r="I139" s="110"/>
      <c r="J139" s="6" t="s">
        <v>8</v>
      </c>
      <c r="K139" s="7">
        <f>AVERAGE(K134:K138)</f>
        <v>76.396000000000001</v>
      </c>
      <c r="L139" s="11">
        <f>AVERAGE(L134:L138)</f>
        <v>76.742800000000003</v>
      </c>
      <c r="N139" s="30">
        <v>91</v>
      </c>
      <c r="O139" s="27">
        <v>74.22</v>
      </c>
      <c r="P139" s="27">
        <v>74.78</v>
      </c>
      <c r="Q139" s="26">
        <v>1039</v>
      </c>
      <c r="R139" s="52">
        <v>0.53610000000000002</v>
      </c>
    </row>
    <row r="140" spans="1:1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N140" s="6" t="s">
        <v>8</v>
      </c>
      <c r="O140" s="7">
        <f>AVERAGE(O135:O139)</f>
        <v>74.852000000000004</v>
      </c>
      <c r="P140" s="7">
        <f>AVERAGE(P135:P139)</f>
        <v>74.7654</v>
      </c>
      <c r="Q140" s="35">
        <f>AVERAGE(Q135:Q139)</f>
        <v>1133.2</v>
      </c>
      <c r="R140" s="34">
        <f>AVERAGE(R135:R139)</f>
        <v>0.51094000000000006</v>
      </c>
    </row>
    <row r="141" spans="1:1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8" x14ac:dyDescent="0.2">
      <c r="A143" s="108" t="s">
        <v>15</v>
      </c>
      <c r="B143" s="108"/>
      <c r="C143" s="108"/>
      <c r="D143" s="108"/>
      <c r="E143" s="108" t="s">
        <v>16</v>
      </c>
      <c r="F143" s="108"/>
      <c r="G143" s="108"/>
      <c r="H143" s="108"/>
      <c r="I143" s="108" t="s">
        <v>17</v>
      </c>
      <c r="J143" s="108"/>
      <c r="K143" s="108"/>
      <c r="L143" s="111"/>
      <c r="N143" s="1" t="s">
        <v>4</v>
      </c>
      <c r="O143" s="1" t="s">
        <v>6</v>
      </c>
      <c r="P143" s="2" t="s">
        <v>7</v>
      </c>
      <c r="Q143" s="1" t="s">
        <v>24</v>
      </c>
      <c r="R143" s="8" t="s">
        <v>25</v>
      </c>
    </row>
    <row r="144" spans="1:18" x14ac:dyDescent="0.2">
      <c r="A144" s="3" t="s">
        <v>3</v>
      </c>
      <c r="B144" s="3" t="s">
        <v>4</v>
      </c>
      <c r="C144" s="3" t="s">
        <v>6</v>
      </c>
      <c r="D144" s="12" t="s">
        <v>7</v>
      </c>
      <c r="E144" s="3" t="s">
        <v>3</v>
      </c>
      <c r="F144" s="3" t="s">
        <v>4</v>
      </c>
      <c r="G144" s="3" t="s">
        <v>6</v>
      </c>
      <c r="H144" s="12" t="s">
        <v>7</v>
      </c>
      <c r="I144" s="3" t="s">
        <v>3</v>
      </c>
      <c r="J144" s="3" t="s">
        <v>4</v>
      </c>
      <c r="K144" s="3" t="s">
        <v>6</v>
      </c>
      <c r="L144" s="12" t="s">
        <v>7</v>
      </c>
      <c r="N144" s="28">
        <v>13</v>
      </c>
      <c r="O144" s="51">
        <v>73.06</v>
      </c>
      <c r="P144" s="4">
        <v>71.528999999999996</v>
      </c>
      <c r="Q144" s="25">
        <v>1293</v>
      </c>
      <c r="R144" s="36">
        <v>0.44612000000000002</v>
      </c>
    </row>
    <row r="145" spans="1:20" x14ac:dyDescent="0.2">
      <c r="A145" s="109">
        <v>8</v>
      </c>
      <c r="B145" s="1">
        <v>13</v>
      </c>
      <c r="C145" s="51">
        <v>73.06</v>
      </c>
      <c r="D145" s="9">
        <v>71.528999999999996</v>
      </c>
      <c r="E145" s="109">
        <v>8</v>
      </c>
      <c r="F145" s="1">
        <v>13</v>
      </c>
      <c r="G145" s="1">
        <v>75.75</v>
      </c>
      <c r="H145" s="9">
        <v>74.759</v>
      </c>
      <c r="I145" s="109">
        <v>8</v>
      </c>
      <c r="J145" s="1">
        <v>13</v>
      </c>
      <c r="K145" s="1">
        <v>77.12</v>
      </c>
      <c r="L145" s="8">
        <v>76.313999999999993</v>
      </c>
      <c r="N145" s="29">
        <v>21</v>
      </c>
      <c r="O145" s="4">
        <v>70.47</v>
      </c>
      <c r="P145" s="4">
        <v>68.682000000000002</v>
      </c>
      <c r="Q145" s="1">
        <v>1410</v>
      </c>
      <c r="R145" s="33">
        <v>0.44274999999999998</v>
      </c>
    </row>
    <row r="146" spans="1:20" x14ac:dyDescent="0.2">
      <c r="A146" s="109"/>
      <c r="B146" s="1">
        <v>21</v>
      </c>
      <c r="C146" s="4">
        <v>70.47</v>
      </c>
      <c r="D146" s="9">
        <v>68.682000000000002</v>
      </c>
      <c r="E146" s="109"/>
      <c r="F146" s="1">
        <v>21</v>
      </c>
      <c r="G146" s="4">
        <v>74.45</v>
      </c>
      <c r="H146" s="9">
        <v>75.055000000000007</v>
      </c>
      <c r="I146" s="109"/>
      <c r="J146" s="1">
        <v>21</v>
      </c>
      <c r="K146" s="4">
        <v>77.48</v>
      </c>
      <c r="L146" s="9">
        <v>77.944000000000003</v>
      </c>
      <c r="N146" s="29">
        <v>47</v>
      </c>
      <c r="O146" s="4">
        <v>72.260000000000005</v>
      </c>
      <c r="P146" s="4">
        <v>70.613</v>
      </c>
      <c r="Q146" s="1">
        <v>1334</v>
      </c>
      <c r="R146" s="33">
        <v>0.44388</v>
      </c>
    </row>
    <row r="147" spans="1:20" x14ac:dyDescent="0.2">
      <c r="A147" s="109"/>
      <c r="B147" s="1">
        <v>47</v>
      </c>
      <c r="C147" s="4">
        <v>72.260000000000005</v>
      </c>
      <c r="D147" s="9">
        <v>70.613</v>
      </c>
      <c r="E147" s="109"/>
      <c r="F147" s="1">
        <v>47</v>
      </c>
      <c r="G147" s="4">
        <v>74.94</v>
      </c>
      <c r="H147" s="9">
        <v>74.706999999999994</v>
      </c>
      <c r="I147" s="109"/>
      <c r="J147" s="1">
        <v>47</v>
      </c>
      <c r="K147" s="4">
        <v>77.34</v>
      </c>
      <c r="L147" s="9">
        <v>77.215000000000003</v>
      </c>
      <c r="N147" s="29">
        <v>50</v>
      </c>
      <c r="O147" s="4">
        <v>72.58</v>
      </c>
      <c r="P147" s="4">
        <v>72.001000000000005</v>
      </c>
      <c r="Q147" s="1">
        <v>1179</v>
      </c>
      <c r="R147" s="33">
        <v>0.47949999999999998</v>
      </c>
    </row>
    <row r="148" spans="1:20" x14ac:dyDescent="0.2">
      <c r="A148" s="109"/>
      <c r="B148" s="1">
        <v>50</v>
      </c>
      <c r="C148" s="4">
        <v>72.58</v>
      </c>
      <c r="D148" s="9">
        <v>72.001000000000005</v>
      </c>
      <c r="E148" s="109"/>
      <c r="F148" s="1">
        <v>50</v>
      </c>
      <c r="G148" s="4">
        <v>73.41</v>
      </c>
      <c r="H148" s="9">
        <v>72.817999999999998</v>
      </c>
      <c r="I148" s="109"/>
      <c r="J148" s="1">
        <v>50</v>
      </c>
      <c r="K148" s="4">
        <v>75.06</v>
      </c>
      <c r="L148" s="9">
        <v>73.787999999999997</v>
      </c>
      <c r="N148" s="30">
        <v>91</v>
      </c>
      <c r="O148" s="27">
        <v>72.959999999999994</v>
      </c>
      <c r="P148" s="27">
        <v>71.543000000000006</v>
      </c>
      <c r="Q148" s="26">
        <v>1281</v>
      </c>
      <c r="R148" s="52">
        <v>0.45012000000000002</v>
      </c>
    </row>
    <row r="149" spans="1:20" x14ac:dyDescent="0.2">
      <c r="A149" s="109"/>
      <c r="B149" s="2">
        <v>91</v>
      </c>
      <c r="C149" s="27">
        <v>72.959999999999994</v>
      </c>
      <c r="D149" s="65">
        <v>71.543000000000006</v>
      </c>
      <c r="E149" s="109"/>
      <c r="F149" s="2">
        <v>91</v>
      </c>
      <c r="G149" s="5">
        <v>74.459999999999994</v>
      </c>
      <c r="H149" s="10">
        <v>73.911000000000001</v>
      </c>
      <c r="I149" s="109"/>
      <c r="J149" s="2">
        <v>91</v>
      </c>
      <c r="K149" s="5">
        <v>77.48</v>
      </c>
      <c r="L149" s="10">
        <v>76.486999999999995</v>
      </c>
      <c r="N149" s="6" t="s">
        <v>8</v>
      </c>
      <c r="O149" s="7">
        <f>AVERAGE(O144:O148)</f>
        <v>72.265999999999991</v>
      </c>
      <c r="P149" s="7">
        <f>AVERAGE(P144:P148)</f>
        <v>70.87360000000001</v>
      </c>
      <c r="Q149" s="35">
        <f>AVERAGE(Q144:Q148)</f>
        <v>1299.4000000000001</v>
      </c>
      <c r="R149" s="34">
        <f>AVERAGE(R144:R148)</f>
        <v>0.45247400000000004</v>
      </c>
    </row>
    <row r="150" spans="1:20" x14ac:dyDescent="0.2">
      <c r="A150" s="110"/>
      <c r="B150" s="6" t="s">
        <v>8</v>
      </c>
      <c r="C150" s="7">
        <f>AVERAGE(C145:C149)</f>
        <v>72.265999999999991</v>
      </c>
      <c r="D150" s="11">
        <f>AVERAGE(D145:D149)</f>
        <v>70.87360000000001</v>
      </c>
      <c r="E150" s="110"/>
      <c r="F150" s="6" t="s">
        <v>8</v>
      </c>
      <c r="G150" s="7">
        <f>AVERAGE(G145:G149)</f>
        <v>74.60199999999999</v>
      </c>
      <c r="H150" s="11">
        <f>AVERAGE(H145:H149)</f>
        <v>74.25</v>
      </c>
      <c r="I150" s="110"/>
      <c r="J150" s="6" t="s">
        <v>8</v>
      </c>
      <c r="K150" s="7">
        <f>AVERAGE(K145:K149)</f>
        <v>76.896000000000001</v>
      </c>
      <c r="L150" s="11">
        <f>AVERAGE(L145:L149)</f>
        <v>76.349599999999981</v>
      </c>
      <c r="N150" s="1" t="s">
        <v>4</v>
      </c>
      <c r="O150" s="1" t="s">
        <v>6</v>
      </c>
      <c r="P150" s="2" t="s">
        <v>7</v>
      </c>
      <c r="Q150" s="1" t="s">
        <v>24</v>
      </c>
      <c r="R150" s="8" t="s">
        <v>25</v>
      </c>
    </row>
    <row r="151" spans="1:20" x14ac:dyDescent="0.2">
      <c r="A151" s="109">
        <v>16</v>
      </c>
      <c r="B151" s="1">
        <v>13</v>
      </c>
      <c r="C151" s="51">
        <v>72.239999999999995</v>
      </c>
      <c r="D151" s="9">
        <v>71.731999999999999</v>
      </c>
      <c r="E151" s="109">
        <v>16</v>
      </c>
      <c r="F151" s="1">
        <v>13</v>
      </c>
      <c r="G151" s="4">
        <v>74.98</v>
      </c>
      <c r="H151" s="9">
        <v>74.980999999999995</v>
      </c>
      <c r="I151" s="109">
        <v>16</v>
      </c>
      <c r="J151" s="1">
        <v>13</v>
      </c>
      <c r="K151" s="4">
        <v>77.45</v>
      </c>
      <c r="L151" s="9">
        <v>77.302000000000007</v>
      </c>
      <c r="N151" s="28">
        <v>13</v>
      </c>
      <c r="O151" s="51">
        <v>72.239999999999995</v>
      </c>
      <c r="P151" s="4">
        <v>71.731999999999999</v>
      </c>
      <c r="Q151" s="25">
        <v>1182</v>
      </c>
      <c r="R151" s="36">
        <v>0.48213</v>
      </c>
    </row>
    <row r="152" spans="1:20" x14ac:dyDescent="0.2">
      <c r="A152" s="109"/>
      <c r="B152" s="1">
        <v>21</v>
      </c>
      <c r="C152" s="4">
        <v>71.7</v>
      </c>
      <c r="D152" s="9">
        <v>69.180999999999997</v>
      </c>
      <c r="E152" s="109"/>
      <c r="F152" s="1">
        <v>21</v>
      </c>
      <c r="G152" s="4">
        <v>74.02</v>
      </c>
      <c r="H152" s="9">
        <v>72.694000000000003</v>
      </c>
      <c r="I152" s="109"/>
      <c r="J152" s="1">
        <v>21</v>
      </c>
      <c r="K152" s="4">
        <v>76.72</v>
      </c>
      <c r="L152" s="9">
        <v>76.840999999999994</v>
      </c>
      <c r="N152" s="29">
        <v>21</v>
      </c>
      <c r="O152" s="4">
        <v>71.7</v>
      </c>
      <c r="P152" s="4">
        <v>69.180999999999997</v>
      </c>
      <c r="Q152" s="1">
        <v>1459</v>
      </c>
      <c r="R152" s="33">
        <v>0.41825000000000001</v>
      </c>
    </row>
    <row r="153" spans="1:20" x14ac:dyDescent="0.2">
      <c r="A153" s="109"/>
      <c r="B153" s="1">
        <v>47</v>
      </c>
      <c r="C153" s="4">
        <v>71.94</v>
      </c>
      <c r="D153" s="9">
        <v>70.331999999999994</v>
      </c>
      <c r="E153" s="109"/>
      <c r="F153" s="1">
        <v>47</v>
      </c>
      <c r="G153" s="4">
        <v>74.599999999999994</v>
      </c>
      <c r="H153" s="9">
        <v>72.709999999999994</v>
      </c>
      <c r="I153" s="109"/>
      <c r="J153" s="1">
        <v>47</v>
      </c>
      <c r="K153" s="4">
        <v>77.05</v>
      </c>
      <c r="L153" s="9">
        <v>76.522000000000006</v>
      </c>
      <c r="N153" s="29">
        <v>47</v>
      </c>
      <c r="O153" s="4">
        <v>71.94</v>
      </c>
      <c r="P153" s="4">
        <v>70.331999999999994</v>
      </c>
      <c r="Q153" s="1">
        <v>1339</v>
      </c>
      <c r="R153" s="33">
        <v>0.44588</v>
      </c>
    </row>
    <row r="154" spans="1:20" x14ac:dyDescent="0.2">
      <c r="A154" s="109"/>
      <c r="B154" s="1">
        <v>50</v>
      </c>
      <c r="C154" s="4">
        <v>72.45</v>
      </c>
      <c r="D154" s="9">
        <v>70.376000000000005</v>
      </c>
      <c r="E154" s="109"/>
      <c r="F154" s="1">
        <v>50</v>
      </c>
      <c r="G154" s="4">
        <v>75.41</v>
      </c>
      <c r="H154" s="9">
        <v>74.869</v>
      </c>
      <c r="I154" s="109"/>
      <c r="J154" s="1">
        <v>50</v>
      </c>
      <c r="K154" s="4">
        <v>77.08</v>
      </c>
      <c r="L154" s="9">
        <v>75.881</v>
      </c>
      <c r="N154" s="29">
        <v>50</v>
      </c>
      <c r="O154" s="4">
        <v>72.45</v>
      </c>
      <c r="P154" s="4">
        <v>70.376000000000005</v>
      </c>
      <c r="Q154" s="1">
        <v>1382</v>
      </c>
      <c r="R154" s="33">
        <v>0.43</v>
      </c>
    </row>
    <row r="155" spans="1:20" x14ac:dyDescent="0.2">
      <c r="A155" s="109"/>
      <c r="B155" s="2">
        <v>91</v>
      </c>
      <c r="C155" s="27">
        <v>72.67</v>
      </c>
      <c r="D155" s="65">
        <v>70.727999999999994</v>
      </c>
      <c r="E155" s="109"/>
      <c r="F155" s="2">
        <v>91</v>
      </c>
      <c r="G155" s="5">
        <v>75.2</v>
      </c>
      <c r="H155" s="10">
        <v>74.319999999999993</v>
      </c>
      <c r="I155" s="109"/>
      <c r="J155" s="2">
        <v>91</v>
      </c>
      <c r="K155" s="5">
        <v>77.31</v>
      </c>
      <c r="L155" s="10">
        <v>77.456000000000003</v>
      </c>
      <c r="N155" s="30">
        <v>91</v>
      </c>
      <c r="O155" s="27">
        <v>72.67</v>
      </c>
      <c r="P155" s="27">
        <v>70.727999999999994</v>
      </c>
      <c r="Q155" s="26">
        <v>1359</v>
      </c>
      <c r="R155" s="52">
        <v>0.4335</v>
      </c>
    </row>
    <row r="156" spans="1:20" x14ac:dyDescent="0.2">
      <c r="A156" s="110"/>
      <c r="B156" s="6" t="s">
        <v>8</v>
      </c>
      <c r="C156" s="7">
        <f>AVERAGE(C151:C155)</f>
        <v>72.2</v>
      </c>
      <c r="D156" s="11">
        <f>AVERAGE(D151:D155)</f>
        <v>70.469799999999992</v>
      </c>
      <c r="E156" s="110"/>
      <c r="F156" s="6" t="s">
        <v>8</v>
      </c>
      <c r="G156" s="7">
        <f>AVERAGE(G151:G155)</f>
        <v>74.841999999999999</v>
      </c>
      <c r="H156" s="11">
        <f>AVERAGE(H151:H155)</f>
        <v>73.9148</v>
      </c>
      <c r="I156" s="110"/>
      <c r="J156" s="6" t="s">
        <v>8</v>
      </c>
      <c r="K156" s="7">
        <f>AVERAGE(K151:K155)</f>
        <v>77.122</v>
      </c>
      <c r="L156" s="11">
        <f>AVERAGE(L151:L155)</f>
        <v>76.80040000000001</v>
      </c>
      <c r="N156" s="6" t="s">
        <v>8</v>
      </c>
      <c r="O156" s="7">
        <f>AVERAGE(O151:O155)</f>
        <v>72.2</v>
      </c>
      <c r="P156" s="7">
        <f>AVERAGE(P151:P155)</f>
        <v>70.469799999999992</v>
      </c>
      <c r="Q156" s="35">
        <f>AVERAGE(Q151:Q155)</f>
        <v>1344.2</v>
      </c>
      <c r="R156" s="34">
        <f>AVERAGE(R151:R155)</f>
        <v>0.44195200000000001</v>
      </c>
    </row>
    <row r="158" spans="1:20" x14ac:dyDescent="0.2">
      <c r="A158" s="24" t="s">
        <v>22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 spans="1:2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">
      <c r="A160" s="120" t="s">
        <v>23</v>
      </c>
      <c r="B160" s="107" t="s">
        <v>0</v>
      </c>
      <c r="C160" s="108"/>
      <c r="D160" s="108"/>
      <c r="E160" s="108"/>
      <c r="F160" s="108"/>
      <c r="G160" s="111"/>
      <c r="H160" s="107" t="s">
        <v>1</v>
      </c>
      <c r="I160" s="108"/>
      <c r="J160" s="108"/>
      <c r="K160" s="108"/>
      <c r="L160" s="108"/>
      <c r="M160" s="111"/>
      <c r="N160" s="107" t="s">
        <v>2</v>
      </c>
      <c r="O160" s="108"/>
      <c r="P160" s="108"/>
      <c r="Q160" s="108"/>
      <c r="R160" s="108"/>
      <c r="S160" s="111"/>
      <c r="T160" s="1"/>
    </row>
    <row r="161" spans="1:20" x14ac:dyDescent="0.2">
      <c r="A161" s="121"/>
      <c r="B161" s="19" t="s">
        <v>3</v>
      </c>
      <c r="C161" s="1" t="s">
        <v>4</v>
      </c>
      <c r="D161" s="1" t="s">
        <v>6</v>
      </c>
      <c r="E161" s="2" t="s">
        <v>7</v>
      </c>
      <c r="F161" s="1" t="s">
        <v>24</v>
      </c>
      <c r="G161" s="8" t="s">
        <v>25</v>
      </c>
      <c r="H161" s="19" t="s">
        <v>3</v>
      </c>
      <c r="I161" s="1" t="s">
        <v>4</v>
      </c>
      <c r="J161" s="1" t="s">
        <v>6</v>
      </c>
      <c r="K161" s="2" t="s">
        <v>7</v>
      </c>
      <c r="L161" s="1" t="s">
        <v>24</v>
      </c>
      <c r="M161" s="8" t="s">
        <v>25</v>
      </c>
      <c r="N161" s="19" t="s">
        <v>3</v>
      </c>
      <c r="O161" s="1" t="s">
        <v>4</v>
      </c>
      <c r="P161" s="1" t="s">
        <v>6</v>
      </c>
      <c r="Q161" s="2" t="s">
        <v>7</v>
      </c>
      <c r="R161" s="1" t="s">
        <v>24</v>
      </c>
      <c r="S161" s="8" t="s">
        <v>25</v>
      </c>
      <c r="T161" s="1"/>
    </row>
    <row r="162" spans="1:20" x14ac:dyDescent="0.2">
      <c r="A162" s="122">
        <v>1</v>
      </c>
      <c r="B162" s="104">
        <v>8</v>
      </c>
      <c r="C162" s="28">
        <v>13</v>
      </c>
      <c r="D162" s="51">
        <v>71.28</v>
      </c>
      <c r="E162" s="4">
        <v>72.802999999999997</v>
      </c>
      <c r="F162" s="25">
        <v>1017</v>
      </c>
      <c r="G162" s="36">
        <v>0.56989999999999996</v>
      </c>
      <c r="H162" s="104">
        <v>8</v>
      </c>
      <c r="I162" s="28">
        <v>13</v>
      </c>
      <c r="J162" s="25">
        <v>72.72</v>
      </c>
      <c r="K162" s="4">
        <v>72.105999999999995</v>
      </c>
      <c r="L162" s="25">
        <v>1335</v>
      </c>
      <c r="M162" s="36">
        <v>0.49199999999999999</v>
      </c>
      <c r="N162" s="104">
        <v>8</v>
      </c>
      <c r="O162" s="28">
        <v>13</v>
      </c>
      <c r="P162" s="25">
        <v>72.67</v>
      </c>
      <c r="Q162" s="4">
        <v>72.894999999999996</v>
      </c>
      <c r="R162" s="25">
        <v>1186</v>
      </c>
      <c r="S162" s="36">
        <v>0.5222</v>
      </c>
      <c r="T162" s="1"/>
    </row>
    <row r="163" spans="1:20" x14ac:dyDescent="0.2">
      <c r="A163" s="123"/>
      <c r="B163" s="105"/>
      <c r="C163" s="29">
        <v>21</v>
      </c>
      <c r="D163" s="4">
        <v>71.13</v>
      </c>
      <c r="E163" s="4">
        <v>72.683999999999997</v>
      </c>
      <c r="F163" s="1">
        <v>1020</v>
      </c>
      <c r="G163" s="33">
        <v>0.57079999999999997</v>
      </c>
      <c r="H163" s="105"/>
      <c r="I163" s="29">
        <v>21</v>
      </c>
      <c r="J163" s="4">
        <v>72.36</v>
      </c>
      <c r="K163" s="4">
        <v>72.12</v>
      </c>
      <c r="L163" s="1">
        <v>1286</v>
      </c>
      <c r="M163" s="33">
        <v>0.505</v>
      </c>
      <c r="N163" s="105"/>
      <c r="O163" s="29">
        <v>21</v>
      </c>
      <c r="P163" s="4">
        <v>72.95</v>
      </c>
      <c r="Q163" s="4">
        <v>72.762</v>
      </c>
      <c r="R163" s="1">
        <v>1248</v>
      </c>
      <c r="S163" s="33">
        <v>0.50700000000000001</v>
      </c>
      <c r="T163" s="1"/>
    </row>
    <row r="164" spans="1:20" x14ac:dyDescent="0.2">
      <c r="A164" s="123"/>
      <c r="B164" s="105"/>
      <c r="C164" s="29">
        <v>47</v>
      </c>
      <c r="D164" s="4">
        <v>71.73</v>
      </c>
      <c r="E164" s="4">
        <v>72.013000000000005</v>
      </c>
      <c r="F164" s="1">
        <v>1224</v>
      </c>
      <c r="G164" s="33">
        <v>0.52400000000000002</v>
      </c>
      <c r="H164" s="105"/>
      <c r="I164" s="29">
        <v>47</v>
      </c>
      <c r="J164" s="4">
        <v>71.95</v>
      </c>
      <c r="K164" s="4">
        <v>70.066999999999993</v>
      </c>
      <c r="L164" s="1">
        <v>1578</v>
      </c>
      <c r="M164" s="33">
        <v>0.45100000000000001</v>
      </c>
      <c r="N164" s="105"/>
      <c r="O164" s="29">
        <v>47</v>
      </c>
      <c r="P164" s="4">
        <v>74.06</v>
      </c>
      <c r="Q164" s="4">
        <v>74.519000000000005</v>
      </c>
      <c r="R164" s="1">
        <v>1068</v>
      </c>
      <c r="S164" s="33">
        <v>0.53190000000000004</v>
      </c>
      <c r="T164" s="1"/>
    </row>
    <row r="165" spans="1:20" x14ac:dyDescent="0.2">
      <c r="A165" s="123"/>
      <c r="B165" s="105"/>
      <c r="C165" s="29">
        <v>50</v>
      </c>
      <c r="D165" s="4">
        <v>71.08</v>
      </c>
      <c r="E165" s="4">
        <v>72.53</v>
      </c>
      <c r="F165" s="1">
        <v>1043</v>
      </c>
      <c r="G165" s="33">
        <v>0.56669999999999998</v>
      </c>
      <c r="H165" s="105"/>
      <c r="I165" s="29">
        <v>50</v>
      </c>
      <c r="J165" s="4">
        <v>72.48</v>
      </c>
      <c r="K165" s="4">
        <v>72.247</v>
      </c>
      <c r="L165" s="1">
        <v>1279</v>
      </c>
      <c r="M165" s="33">
        <v>0.50549999999999995</v>
      </c>
      <c r="N165" s="105"/>
      <c r="O165" s="29">
        <v>50</v>
      </c>
      <c r="P165" s="4">
        <v>71.19</v>
      </c>
      <c r="Q165" s="4">
        <v>71.272999999999996</v>
      </c>
      <c r="R165" s="1">
        <v>1287</v>
      </c>
      <c r="S165" s="33">
        <v>0.51680000000000004</v>
      </c>
      <c r="T165" s="1"/>
    </row>
    <row r="166" spans="1:20" x14ac:dyDescent="0.2">
      <c r="A166" s="123"/>
      <c r="B166" s="105"/>
      <c r="C166" s="30">
        <v>91</v>
      </c>
      <c r="D166" s="27">
        <v>68.42</v>
      </c>
      <c r="E166" s="27">
        <v>70.629000000000005</v>
      </c>
      <c r="F166" s="26">
        <v>1064</v>
      </c>
      <c r="G166" s="52">
        <v>0.58909999999999996</v>
      </c>
      <c r="H166" s="105"/>
      <c r="I166" s="30">
        <v>91</v>
      </c>
      <c r="J166" s="27">
        <v>72.03</v>
      </c>
      <c r="K166" s="27">
        <v>71.981999999999999</v>
      </c>
      <c r="L166" s="26">
        <v>1268</v>
      </c>
      <c r="M166" s="52">
        <v>0.51200000000000001</v>
      </c>
      <c r="N166" s="105"/>
      <c r="O166" s="30">
        <v>91</v>
      </c>
      <c r="P166" s="27">
        <v>72.739999999999995</v>
      </c>
      <c r="Q166" s="27">
        <v>72.563999999999993</v>
      </c>
      <c r="R166" s="26">
        <v>1256</v>
      </c>
      <c r="S166" s="52">
        <v>0.50749999999999995</v>
      </c>
      <c r="T166" s="1"/>
    </row>
    <row r="167" spans="1:20" x14ac:dyDescent="0.2">
      <c r="A167" s="121"/>
      <c r="B167" s="105"/>
      <c r="C167" s="6" t="s">
        <v>8</v>
      </c>
      <c r="D167" s="7">
        <f>AVERAGE(D162:D166)</f>
        <v>70.727999999999994</v>
      </c>
      <c r="E167" s="7">
        <f>AVERAGE(E162:E166)</f>
        <v>72.131799999999998</v>
      </c>
      <c r="F167" s="35">
        <f>AVERAGE(F162:F166)</f>
        <v>1073.5999999999999</v>
      </c>
      <c r="G167" s="34">
        <f>AVERAGE(G162:G166)</f>
        <v>0.56410000000000005</v>
      </c>
      <c r="H167" s="105"/>
      <c r="I167" s="6" t="s">
        <v>8</v>
      </c>
      <c r="J167" s="7">
        <f>AVERAGE(J162:J166)</f>
        <v>72.307999999999993</v>
      </c>
      <c r="K167" s="7">
        <f>AVERAGE(K162:K166)</f>
        <v>71.704400000000007</v>
      </c>
      <c r="L167" s="35">
        <f>AVERAGE(L162:L166)</f>
        <v>1349.2</v>
      </c>
      <c r="M167" s="34">
        <f>AVERAGE(M162:M166)</f>
        <v>0.49309999999999998</v>
      </c>
      <c r="N167" s="105"/>
      <c r="O167" s="6" t="s">
        <v>8</v>
      </c>
      <c r="P167" s="7">
        <f>AVERAGE(P162:P166)</f>
        <v>72.722000000000008</v>
      </c>
      <c r="Q167" s="7">
        <f>AVERAGE(Q162:Q166)</f>
        <v>72.802599999999984</v>
      </c>
      <c r="R167" s="35">
        <f>AVERAGE(R162:R166)</f>
        <v>1209</v>
      </c>
      <c r="S167" s="34">
        <f>AVERAGE(S162:S166)</f>
        <v>0.51707999999999998</v>
      </c>
      <c r="T167" s="1"/>
    </row>
    <row r="168" spans="1:20" x14ac:dyDescent="0.2">
      <c r="A168" s="119">
        <v>1.2</v>
      </c>
      <c r="B168" s="105"/>
      <c r="C168" s="28">
        <v>13</v>
      </c>
      <c r="D168" s="25">
        <v>71.08</v>
      </c>
      <c r="E168" s="25">
        <v>72.058000000000007</v>
      </c>
      <c r="F168" s="25">
        <v>1132</v>
      </c>
      <c r="G168" s="36">
        <v>0.54890000000000005</v>
      </c>
      <c r="H168" s="105"/>
      <c r="I168" s="28">
        <v>13</v>
      </c>
      <c r="J168" s="25"/>
      <c r="K168" s="25"/>
      <c r="L168" s="25"/>
      <c r="M168" s="31"/>
      <c r="N168" s="105"/>
      <c r="O168" s="28">
        <v>13</v>
      </c>
      <c r="P168" s="25"/>
      <c r="Q168" s="25"/>
      <c r="R168" s="25"/>
      <c r="S168" s="36"/>
      <c r="T168" s="1"/>
    </row>
    <row r="169" spans="1:20" x14ac:dyDescent="0.2">
      <c r="A169" s="109"/>
      <c r="B169" s="105"/>
      <c r="C169" s="29">
        <v>21</v>
      </c>
      <c r="D169" s="4">
        <v>70.959999999999994</v>
      </c>
      <c r="E169" s="4">
        <v>72.022999999999996</v>
      </c>
      <c r="F169" s="1">
        <v>1123</v>
      </c>
      <c r="G169" s="33">
        <v>0.55189999999999995</v>
      </c>
      <c r="H169" s="105"/>
      <c r="I169" s="29">
        <v>21</v>
      </c>
      <c r="J169" s="4"/>
      <c r="K169" s="4"/>
      <c r="L169" s="1"/>
      <c r="M169" s="8"/>
      <c r="N169" s="105"/>
      <c r="O169" s="29">
        <v>21</v>
      </c>
      <c r="P169" s="4"/>
      <c r="Q169" s="4"/>
      <c r="R169" s="1"/>
      <c r="S169" s="33"/>
      <c r="T169" s="1"/>
    </row>
    <row r="170" spans="1:20" x14ac:dyDescent="0.2">
      <c r="A170" s="109"/>
      <c r="B170" s="105"/>
      <c r="C170" s="29">
        <v>47</v>
      </c>
      <c r="D170" s="4">
        <v>70.959999999999994</v>
      </c>
      <c r="E170" s="4">
        <v>71.412000000000006</v>
      </c>
      <c r="F170" s="1">
        <v>1234</v>
      </c>
      <c r="G170" s="33">
        <v>0.52969999999999995</v>
      </c>
      <c r="H170" s="105"/>
      <c r="I170" s="29">
        <v>47</v>
      </c>
      <c r="J170" s="4"/>
      <c r="K170" s="4"/>
      <c r="L170" s="1"/>
      <c r="M170" s="8"/>
      <c r="N170" s="105"/>
      <c r="O170" s="29">
        <v>47</v>
      </c>
      <c r="P170" s="4"/>
      <c r="Q170" s="4"/>
      <c r="R170" s="1"/>
      <c r="S170" s="33"/>
      <c r="T170" s="1"/>
    </row>
    <row r="171" spans="1:20" x14ac:dyDescent="0.2">
      <c r="A171" s="109"/>
      <c r="B171" s="105"/>
      <c r="C171" s="29">
        <v>50</v>
      </c>
      <c r="D171" s="4">
        <v>70.680000000000007</v>
      </c>
      <c r="E171" s="4">
        <v>73.489999999999995</v>
      </c>
      <c r="F171" s="1">
        <v>797</v>
      </c>
      <c r="G171" s="33">
        <v>0.61990000000000001</v>
      </c>
      <c r="H171" s="105"/>
      <c r="I171" s="29">
        <v>50</v>
      </c>
      <c r="J171" s="4"/>
      <c r="K171" s="4"/>
      <c r="L171" s="1"/>
      <c r="M171" s="33"/>
      <c r="N171" s="105"/>
      <c r="O171" s="29">
        <v>50</v>
      </c>
      <c r="P171" s="4"/>
      <c r="Q171" s="4"/>
      <c r="R171" s="1"/>
      <c r="S171" s="33"/>
      <c r="T171" s="1"/>
    </row>
    <row r="172" spans="1:20" x14ac:dyDescent="0.2">
      <c r="A172" s="109"/>
      <c r="B172" s="105"/>
      <c r="C172" s="30">
        <v>91</v>
      </c>
      <c r="D172" s="27">
        <v>69.25</v>
      </c>
      <c r="E172" s="27">
        <v>71.031999999999996</v>
      </c>
      <c r="F172" s="26">
        <v>1091</v>
      </c>
      <c r="G172" s="52">
        <v>0.57540000000000002</v>
      </c>
      <c r="H172" s="105"/>
      <c r="I172" s="30">
        <v>91</v>
      </c>
      <c r="J172" s="27"/>
      <c r="K172" s="27"/>
      <c r="L172" s="26"/>
      <c r="M172" s="32"/>
      <c r="N172" s="105"/>
      <c r="O172" s="30">
        <v>91</v>
      </c>
      <c r="P172" s="27"/>
      <c r="Q172" s="27"/>
      <c r="R172" s="26"/>
      <c r="S172" s="52"/>
      <c r="T172" s="1"/>
    </row>
    <row r="173" spans="1:20" x14ac:dyDescent="0.2">
      <c r="A173" s="110"/>
      <c r="B173" s="105"/>
      <c r="C173" s="6" t="s">
        <v>8</v>
      </c>
      <c r="D173" s="7">
        <f>AVERAGE(D168:D172)</f>
        <v>70.585999999999999</v>
      </c>
      <c r="E173" s="7">
        <f>AVERAGE(E168:E172)</f>
        <v>72.003</v>
      </c>
      <c r="F173" s="35">
        <f>AVERAGE(F168:F172)</f>
        <v>1075.4000000000001</v>
      </c>
      <c r="G173" s="34">
        <f>AVERAGE(G168:G172)</f>
        <v>0.56516</v>
      </c>
      <c r="H173" s="105"/>
      <c r="I173" s="6" t="s">
        <v>8</v>
      </c>
      <c r="J173" s="7" t="e">
        <f>AVERAGE(J168:J172)</f>
        <v>#DIV/0!</v>
      </c>
      <c r="K173" s="7" t="e">
        <f>AVERAGE(K168:K172)</f>
        <v>#DIV/0!</v>
      </c>
      <c r="L173" s="35" t="e">
        <f>AVERAGE(L168:L172)</f>
        <v>#DIV/0!</v>
      </c>
      <c r="M173" s="34" t="e">
        <f>AVERAGE(M168:M172)</f>
        <v>#DIV/0!</v>
      </c>
      <c r="N173" s="105"/>
      <c r="O173" s="6" t="s">
        <v>8</v>
      </c>
      <c r="P173" s="7" t="e">
        <f>AVERAGE(P168:P172)</f>
        <v>#DIV/0!</v>
      </c>
      <c r="Q173" s="7" t="e">
        <f>AVERAGE(Q168:Q172)</f>
        <v>#DIV/0!</v>
      </c>
      <c r="R173" s="35" t="e">
        <f>AVERAGE(R168:R172)</f>
        <v>#DIV/0!</v>
      </c>
      <c r="S173" s="34" t="e">
        <f>AVERAGE(S168:S172)</f>
        <v>#DIV/0!</v>
      </c>
      <c r="T173" s="1"/>
    </row>
    <row r="174" spans="1:20" x14ac:dyDescent="0.2">
      <c r="A174" s="119">
        <v>1.4</v>
      </c>
      <c r="B174" s="105"/>
      <c r="C174" s="28">
        <v>13</v>
      </c>
      <c r="D174" s="25">
        <v>66.84</v>
      </c>
      <c r="E174" s="51">
        <v>73.192999999999998</v>
      </c>
      <c r="F174" s="25">
        <v>334</v>
      </c>
      <c r="G174" s="36">
        <v>0.75090000000000001</v>
      </c>
      <c r="H174" s="105"/>
      <c r="I174" s="28">
        <v>13</v>
      </c>
      <c r="J174" s="25"/>
      <c r="K174" s="25"/>
      <c r="L174" s="25"/>
      <c r="M174" s="36"/>
      <c r="N174" s="105"/>
      <c r="O174" s="28">
        <v>13</v>
      </c>
      <c r="P174" s="51"/>
      <c r="Q174" s="25"/>
      <c r="R174" s="25"/>
      <c r="S174" s="36"/>
      <c r="T174" s="1"/>
    </row>
    <row r="175" spans="1:20" x14ac:dyDescent="0.2">
      <c r="A175" s="109"/>
      <c r="B175" s="105"/>
      <c r="C175" s="29">
        <v>21</v>
      </c>
      <c r="D175" s="4">
        <v>67.91</v>
      </c>
      <c r="E175" s="4">
        <v>73.507999999999996</v>
      </c>
      <c r="F175" s="1">
        <v>409</v>
      </c>
      <c r="G175" s="33">
        <v>0.72519999999999996</v>
      </c>
      <c r="H175" s="105"/>
      <c r="I175" s="29">
        <v>21</v>
      </c>
      <c r="J175" s="4"/>
      <c r="K175" s="4"/>
      <c r="L175" s="1"/>
      <c r="M175" s="8"/>
      <c r="N175" s="105"/>
      <c r="O175" s="29">
        <v>21</v>
      </c>
      <c r="P175" s="4"/>
      <c r="Q175" s="4"/>
      <c r="R175" s="1"/>
      <c r="S175" s="33"/>
      <c r="T175" s="1"/>
    </row>
    <row r="176" spans="1:20" x14ac:dyDescent="0.2">
      <c r="A176" s="109"/>
      <c r="B176" s="105"/>
      <c r="C176" s="29">
        <v>47</v>
      </c>
      <c r="D176" s="4">
        <v>68.23</v>
      </c>
      <c r="E176" s="4">
        <v>73.483000000000004</v>
      </c>
      <c r="F176" s="1">
        <v>459</v>
      </c>
      <c r="G176" s="33">
        <v>0.71199999999999997</v>
      </c>
      <c r="H176" s="105"/>
      <c r="I176" s="29">
        <v>47</v>
      </c>
      <c r="J176" s="4"/>
      <c r="K176" s="4"/>
      <c r="L176" s="1"/>
      <c r="M176" s="8"/>
      <c r="N176" s="105"/>
      <c r="O176" s="29">
        <v>47</v>
      </c>
      <c r="P176" s="4"/>
      <c r="Q176" s="4"/>
      <c r="R176" s="1"/>
      <c r="S176" s="33"/>
      <c r="T176" s="1"/>
    </row>
    <row r="177" spans="1:20" x14ac:dyDescent="0.2">
      <c r="A177" s="109"/>
      <c r="B177" s="105"/>
      <c r="C177" s="29">
        <v>50</v>
      </c>
      <c r="D177" s="4">
        <v>67.91</v>
      </c>
      <c r="E177" s="4">
        <v>73.171000000000006</v>
      </c>
      <c r="F177" s="1">
        <v>485</v>
      </c>
      <c r="G177" s="33">
        <v>0.71</v>
      </c>
      <c r="H177" s="105"/>
      <c r="I177" s="29">
        <v>50</v>
      </c>
      <c r="J177" s="4"/>
      <c r="K177" s="4"/>
      <c r="L177" s="1"/>
      <c r="M177" s="8"/>
      <c r="N177" s="105"/>
      <c r="O177" s="29">
        <v>50</v>
      </c>
      <c r="P177" s="4"/>
      <c r="Q177" s="4"/>
      <c r="R177" s="1"/>
      <c r="S177" s="33"/>
      <c r="T177" s="1"/>
    </row>
    <row r="178" spans="1:20" x14ac:dyDescent="0.2">
      <c r="A178" s="109"/>
      <c r="B178" s="105"/>
      <c r="C178" s="30">
        <v>91</v>
      </c>
      <c r="D178" s="27">
        <v>66.400000000000006</v>
      </c>
      <c r="E178" s="27">
        <v>72.367999999999995</v>
      </c>
      <c r="F178" s="26">
        <v>461</v>
      </c>
      <c r="G178" s="52">
        <v>0.72989999999999999</v>
      </c>
      <c r="H178" s="105"/>
      <c r="I178" s="30">
        <v>91</v>
      </c>
      <c r="J178" s="27"/>
      <c r="K178" s="27"/>
      <c r="L178" s="26"/>
      <c r="M178" s="32"/>
      <c r="N178" s="105"/>
      <c r="O178" s="30">
        <v>91</v>
      </c>
      <c r="P178" s="27"/>
      <c r="Q178" s="27"/>
      <c r="R178" s="26"/>
      <c r="S178" s="52"/>
      <c r="T178" s="1"/>
    </row>
    <row r="179" spans="1:20" x14ac:dyDescent="0.2">
      <c r="A179" s="110"/>
      <c r="B179" s="105"/>
      <c r="C179" s="6" t="s">
        <v>8</v>
      </c>
      <c r="D179" s="7">
        <f>AVERAGE(D174:D178)</f>
        <v>67.457999999999998</v>
      </c>
      <c r="E179" s="7">
        <f>AVERAGE(E174:E178)</f>
        <v>73.144599999999997</v>
      </c>
      <c r="F179" s="35">
        <f>AVERAGE(F174:F178)</f>
        <v>429.6</v>
      </c>
      <c r="G179" s="34">
        <f>AVERAGE(G174:G178)</f>
        <v>0.72560000000000002</v>
      </c>
      <c r="H179" s="105"/>
      <c r="I179" s="6" t="s">
        <v>8</v>
      </c>
      <c r="J179" s="7" t="e">
        <f>AVERAGE(J174:J178)</f>
        <v>#DIV/0!</v>
      </c>
      <c r="K179" s="7" t="e">
        <f>AVERAGE(K174:K178)</f>
        <v>#DIV/0!</v>
      </c>
      <c r="L179" s="35" t="e">
        <f>AVERAGE(L174:L178)</f>
        <v>#DIV/0!</v>
      </c>
      <c r="M179" s="34" t="e">
        <f>AVERAGE(M174:M178)</f>
        <v>#DIV/0!</v>
      </c>
      <c r="N179" s="105"/>
      <c r="O179" s="6" t="s">
        <v>8</v>
      </c>
      <c r="P179" s="7" t="e">
        <f>AVERAGE(P174:P178)</f>
        <v>#DIV/0!</v>
      </c>
      <c r="Q179" s="7" t="e">
        <f>AVERAGE(Q174:Q178)</f>
        <v>#DIV/0!</v>
      </c>
      <c r="R179" s="35" t="e">
        <f>AVERAGE(R174:R178)</f>
        <v>#DIV/0!</v>
      </c>
      <c r="S179" s="34" t="e">
        <f>AVERAGE(S174:S178)</f>
        <v>#DIV/0!</v>
      </c>
      <c r="T179" s="1"/>
    </row>
    <row r="180" spans="1:20" x14ac:dyDescent="0.2">
      <c r="A180" s="119">
        <v>1.6</v>
      </c>
      <c r="B180" s="105"/>
      <c r="C180" s="28">
        <v>13</v>
      </c>
      <c r="D180" s="25">
        <v>58.02</v>
      </c>
      <c r="E180" s="25">
        <v>69.596999999999994</v>
      </c>
      <c r="F180" s="37">
        <v>56</v>
      </c>
      <c r="G180" s="36">
        <v>0.89470000000000005</v>
      </c>
      <c r="H180" s="105"/>
      <c r="I180" s="28">
        <v>13</v>
      </c>
      <c r="J180" s="25"/>
      <c r="K180" s="25"/>
      <c r="L180" s="25"/>
      <c r="M180" s="31"/>
      <c r="N180" s="105"/>
      <c r="O180" s="28">
        <v>13</v>
      </c>
      <c r="P180" s="25"/>
      <c r="Q180" s="51"/>
      <c r="R180" s="25"/>
      <c r="S180" s="36"/>
      <c r="T180" s="1"/>
    </row>
    <row r="181" spans="1:20" x14ac:dyDescent="0.2">
      <c r="A181" s="109"/>
      <c r="B181" s="105"/>
      <c r="C181" s="29">
        <v>21</v>
      </c>
      <c r="D181" s="4">
        <v>58.14</v>
      </c>
      <c r="E181" s="4">
        <v>69.701999999999998</v>
      </c>
      <c r="F181" s="1">
        <v>46</v>
      </c>
      <c r="G181" s="33">
        <v>0.89549999999999996</v>
      </c>
      <c r="H181" s="105"/>
      <c r="I181" s="29">
        <v>21</v>
      </c>
      <c r="J181" s="4"/>
      <c r="K181" s="4"/>
      <c r="L181" s="1"/>
      <c r="M181" s="8"/>
      <c r="N181" s="105"/>
      <c r="O181" s="29">
        <v>21</v>
      </c>
      <c r="P181" s="4"/>
      <c r="Q181" s="4"/>
      <c r="R181" s="1"/>
      <c r="S181" s="33"/>
      <c r="T181" s="1"/>
    </row>
    <row r="182" spans="1:20" x14ac:dyDescent="0.2">
      <c r="A182" s="109"/>
      <c r="B182" s="105"/>
      <c r="C182" s="29">
        <v>47</v>
      </c>
      <c r="D182" s="4">
        <v>59.32</v>
      </c>
      <c r="E182" s="4">
        <v>70.162999999999997</v>
      </c>
      <c r="F182" s="1">
        <v>78</v>
      </c>
      <c r="G182" s="33">
        <v>0.87729999999999997</v>
      </c>
      <c r="H182" s="105"/>
      <c r="I182" s="29">
        <v>47</v>
      </c>
      <c r="J182" s="4"/>
      <c r="K182" s="4"/>
      <c r="L182" s="1"/>
      <c r="M182" s="8"/>
      <c r="N182" s="105"/>
      <c r="O182" s="29">
        <v>47</v>
      </c>
      <c r="P182" s="4"/>
      <c r="Q182" s="4"/>
      <c r="R182" s="1"/>
      <c r="S182" s="33"/>
      <c r="T182" s="1"/>
    </row>
    <row r="183" spans="1:20" x14ac:dyDescent="0.2">
      <c r="A183" s="109"/>
      <c r="B183" s="105"/>
      <c r="C183" s="29">
        <v>50</v>
      </c>
      <c r="D183" s="4">
        <v>60.61</v>
      </c>
      <c r="E183" s="4">
        <v>70.650000000000006</v>
      </c>
      <c r="F183" s="1">
        <v>120</v>
      </c>
      <c r="G183" s="33">
        <v>0.85599999999999998</v>
      </c>
      <c r="H183" s="105"/>
      <c r="I183" s="29">
        <v>50</v>
      </c>
      <c r="J183" s="4"/>
      <c r="K183" s="4"/>
      <c r="L183" s="1"/>
      <c r="M183" s="8"/>
      <c r="N183" s="105"/>
      <c r="O183" s="29">
        <v>50</v>
      </c>
      <c r="P183" s="4"/>
      <c r="Q183" s="4"/>
      <c r="R183" s="1"/>
      <c r="S183" s="33"/>
      <c r="T183" s="1"/>
    </row>
    <row r="184" spans="1:20" x14ac:dyDescent="0.2">
      <c r="A184" s="109"/>
      <c r="B184" s="105"/>
      <c r="C184" s="30">
        <v>91</v>
      </c>
      <c r="D184" s="27">
        <v>55.13</v>
      </c>
      <c r="E184" s="27">
        <v>68.097999999999999</v>
      </c>
      <c r="F184" s="26">
        <v>72</v>
      </c>
      <c r="G184" s="52">
        <v>0.9204</v>
      </c>
      <c r="H184" s="105"/>
      <c r="I184" s="30">
        <v>91</v>
      </c>
      <c r="J184" s="27"/>
      <c r="K184" s="27"/>
      <c r="L184" s="26"/>
      <c r="M184" s="32"/>
      <c r="N184" s="105"/>
      <c r="O184" s="30">
        <v>91</v>
      </c>
      <c r="P184" s="27"/>
      <c r="Q184" s="27"/>
      <c r="R184" s="26"/>
      <c r="S184" s="52"/>
      <c r="T184" s="1"/>
    </row>
    <row r="185" spans="1:20" x14ac:dyDescent="0.2">
      <c r="A185" s="110"/>
      <c r="B185" s="105"/>
      <c r="C185" s="6" t="s">
        <v>8</v>
      </c>
      <c r="D185" s="7">
        <f>AVERAGE(D180:D184)</f>
        <v>58.243999999999993</v>
      </c>
      <c r="E185" s="7">
        <f>AVERAGE(E180:E184)</f>
        <v>69.641999999999996</v>
      </c>
      <c r="F185" s="35">
        <f>AVERAGE(F180:F184)</f>
        <v>74.400000000000006</v>
      </c>
      <c r="G185" s="34">
        <f>AVERAGE(G180:G184)</f>
        <v>0.88878000000000001</v>
      </c>
      <c r="H185" s="105"/>
      <c r="I185" s="6" t="s">
        <v>8</v>
      </c>
      <c r="J185" s="7" t="e">
        <f>AVERAGE(J180:J184)</f>
        <v>#DIV/0!</v>
      </c>
      <c r="K185" s="7" t="e">
        <f>AVERAGE(K180:K184)</f>
        <v>#DIV/0!</v>
      </c>
      <c r="L185" s="35" t="e">
        <f>AVERAGE(L180:L184)</f>
        <v>#DIV/0!</v>
      </c>
      <c r="M185" s="34" t="e">
        <f>AVERAGE(M180:M184)</f>
        <v>#DIV/0!</v>
      </c>
      <c r="N185" s="105"/>
      <c r="O185" s="6" t="s">
        <v>8</v>
      </c>
      <c r="P185" s="7" t="e">
        <f>AVERAGE(P180:P184)</f>
        <v>#DIV/0!</v>
      </c>
      <c r="Q185" s="7" t="e">
        <f>AVERAGE(Q180:Q184)</f>
        <v>#DIV/0!</v>
      </c>
      <c r="R185" s="35" t="e">
        <f>AVERAGE(R180:R184)</f>
        <v>#DIV/0!</v>
      </c>
      <c r="S185" s="34" t="e">
        <f>AVERAGE(S180:S184)</f>
        <v>#DIV/0!</v>
      </c>
      <c r="T185" s="1"/>
    </row>
    <row r="186" spans="1:20" x14ac:dyDescent="0.2">
      <c r="A186" s="119">
        <v>1.8</v>
      </c>
      <c r="B186" s="105"/>
      <c r="C186" s="28">
        <v>13</v>
      </c>
      <c r="D186" s="25">
        <v>50.17</v>
      </c>
      <c r="E186" s="25">
        <v>66.108999999999995</v>
      </c>
      <c r="F186" s="25">
        <v>1</v>
      </c>
      <c r="G186" s="36">
        <v>0.98419999999999996</v>
      </c>
      <c r="H186" s="105"/>
      <c r="I186" s="28">
        <v>13</v>
      </c>
      <c r="J186" s="25"/>
      <c r="K186" s="25"/>
      <c r="L186" s="25"/>
      <c r="M186" s="31"/>
      <c r="N186" s="105"/>
      <c r="O186" s="28">
        <v>13</v>
      </c>
      <c r="P186" s="25"/>
      <c r="Q186" s="25"/>
      <c r="R186" s="25"/>
      <c r="S186" s="36"/>
      <c r="T186" s="1"/>
    </row>
    <row r="187" spans="1:20" x14ac:dyDescent="0.2">
      <c r="A187" s="109"/>
      <c r="B187" s="105"/>
      <c r="C187" s="29">
        <v>21</v>
      </c>
      <c r="D187" s="4">
        <v>50.03</v>
      </c>
      <c r="E187" s="4">
        <v>66.046000000000006</v>
      </c>
      <c r="F187" s="1">
        <v>1</v>
      </c>
      <c r="G187" s="33">
        <v>0.98560000000000003</v>
      </c>
      <c r="H187" s="105"/>
      <c r="I187" s="29">
        <v>21</v>
      </c>
      <c r="J187" s="4"/>
      <c r="K187" s="4"/>
      <c r="L187" s="1"/>
      <c r="M187" s="8"/>
      <c r="N187" s="105"/>
      <c r="O187" s="29">
        <v>21</v>
      </c>
      <c r="P187" s="4"/>
      <c r="Q187" s="4"/>
      <c r="R187" s="1"/>
      <c r="S187" s="33"/>
      <c r="T187" s="1"/>
    </row>
    <row r="188" spans="1:20" x14ac:dyDescent="0.2">
      <c r="A188" s="109"/>
      <c r="B188" s="105"/>
      <c r="C188" s="29">
        <v>47</v>
      </c>
      <c r="D188" s="4">
        <v>50.4</v>
      </c>
      <c r="E188" s="4">
        <v>66.212999999999994</v>
      </c>
      <c r="F188" s="1">
        <v>1</v>
      </c>
      <c r="G188" s="33">
        <v>0.9819</v>
      </c>
      <c r="H188" s="105"/>
      <c r="I188" s="29">
        <v>47</v>
      </c>
      <c r="J188" s="4"/>
      <c r="K188" s="4"/>
      <c r="L188" s="1"/>
      <c r="M188" s="8"/>
      <c r="N188" s="105"/>
      <c r="O188" s="29">
        <v>47</v>
      </c>
      <c r="P188" s="4"/>
      <c r="Q188" s="4"/>
      <c r="R188" s="1"/>
      <c r="S188" s="33"/>
      <c r="T188" s="1"/>
    </row>
    <row r="189" spans="1:20" x14ac:dyDescent="0.2">
      <c r="A189" s="109"/>
      <c r="B189" s="105"/>
      <c r="C189" s="29">
        <v>50</v>
      </c>
      <c r="D189" s="4">
        <v>50.1</v>
      </c>
      <c r="E189" s="4">
        <v>66.081999999999994</v>
      </c>
      <c r="F189" s="1">
        <v>0</v>
      </c>
      <c r="G189" s="33">
        <v>0.98509999999999998</v>
      </c>
      <c r="H189" s="105"/>
      <c r="I189" s="29">
        <v>50</v>
      </c>
      <c r="J189" s="4"/>
      <c r="K189" s="4"/>
      <c r="L189" s="1"/>
      <c r="M189" s="8"/>
      <c r="N189" s="105"/>
      <c r="O189" s="29">
        <v>50</v>
      </c>
      <c r="P189" s="4"/>
      <c r="Q189" s="4"/>
      <c r="R189" s="1"/>
      <c r="S189" s="33"/>
      <c r="T189" s="1"/>
    </row>
    <row r="190" spans="1:20" x14ac:dyDescent="0.2">
      <c r="A190" s="109"/>
      <c r="B190" s="105"/>
      <c r="C190" s="30">
        <v>91</v>
      </c>
      <c r="D190" s="27">
        <v>50.13</v>
      </c>
      <c r="E190" s="27">
        <v>66.096000000000004</v>
      </c>
      <c r="F190" s="26">
        <v>0</v>
      </c>
      <c r="G190" s="52">
        <v>0.98480000000000001</v>
      </c>
      <c r="H190" s="105"/>
      <c r="I190" s="30">
        <v>91</v>
      </c>
      <c r="J190" s="27"/>
      <c r="K190" s="27"/>
      <c r="L190" s="26"/>
      <c r="M190" s="32"/>
      <c r="N190" s="105"/>
      <c r="O190" s="30">
        <v>91</v>
      </c>
      <c r="P190" s="27"/>
      <c r="Q190" s="27"/>
      <c r="R190" s="26"/>
      <c r="S190" s="52"/>
      <c r="T190" s="1"/>
    </row>
    <row r="191" spans="1:20" x14ac:dyDescent="0.2">
      <c r="A191" s="110"/>
      <c r="B191" s="105"/>
      <c r="C191" s="6" t="s">
        <v>8</v>
      </c>
      <c r="D191" s="7">
        <f>AVERAGE(D186:D190)</f>
        <v>50.165999999999997</v>
      </c>
      <c r="E191" s="7">
        <f>AVERAGE(E186:E190)</f>
        <v>66.109200000000001</v>
      </c>
      <c r="F191" s="35">
        <f>AVERAGE(F186:F190)</f>
        <v>0.6</v>
      </c>
      <c r="G191" s="34">
        <f>AVERAGE(G186:G190)</f>
        <v>0.98431999999999997</v>
      </c>
      <c r="H191" s="105"/>
      <c r="I191" s="6" t="s">
        <v>8</v>
      </c>
      <c r="J191" s="7" t="e">
        <f>AVERAGE(J186:J190)</f>
        <v>#DIV/0!</v>
      </c>
      <c r="K191" s="7" t="e">
        <f>AVERAGE(K186:K190)</f>
        <v>#DIV/0!</v>
      </c>
      <c r="L191" s="35" t="e">
        <f>AVERAGE(L186:L190)</f>
        <v>#DIV/0!</v>
      </c>
      <c r="M191" s="34" t="e">
        <f>AVERAGE(M186:M190)</f>
        <v>#DIV/0!</v>
      </c>
      <c r="N191" s="105"/>
      <c r="O191" s="6" t="s">
        <v>8</v>
      </c>
      <c r="P191" s="7" t="e">
        <f>AVERAGE(P186:P190)</f>
        <v>#DIV/0!</v>
      </c>
      <c r="Q191" s="7" t="e">
        <f>AVERAGE(Q186:Q190)</f>
        <v>#DIV/0!</v>
      </c>
      <c r="R191" s="35" t="e">
        <f>AVERAGE(R186:R190)</f>
        <v>#DIV/0!</v>
      </c>
      <c r="S191" s="34" t="e">
        <f>AVERAGE(S186:S190)</f>
        <v>#DIV/0!</v>
      </c>
      <c r="T191" s="1"/>
    </row>
    <row r="192" spans="1:20" x14ac:dyDescent="0.2">
      <c r="A192" s="119">
        <v>2</v>
      </c>
      <c r="B192" s="105"/>
      <c r="C192" s="28">
        <v>13</v>
      </c>
      <c r="D192" s="25">
        <v>48.75</v>
      </c>
      <c r="E192" s="51">
        <v>65.480999999999995</v>
      </c>
      <c r="F192" s="25">
        <v>0</v>
      </c>
      <c r="G192" s="36">
        <v>0.99860000000000004</v>
      </c>
      <c r="H192" s="105"/>
      <c r="I192" s="28">
        <v>13</v>
      </c>
      <c r="J192" s="25"/>
      <c r="K192" s="25"/>
      <c r="L192" s="25"/>
      <c r="M192" s="36"/>
      <c r="N192" s="105"/>
      <c r="O192" s="28">
        <v>13</v>
      </c>
      <c r="P192" s="25"/>
      <c r="Q192" s="25"/>
      <c r="R192" s="25"/>
      <c r="S192" s="36"/>
      <c r="T192" s="1"/>
    </row>
    <row r="193" spans="1:20" x14ac:dyDescent="0.2">
      <c r="A193" s="109"/>
      <c r="B193" s="105"/>
      <c r="C193" s="29">
        <v>21</v>
      </c>
      <c r="D193" s="4">
        <v>48.8</v>
      </c>
      <c r="E193" s="4">
        <v>65.503</v>
      </c>
      <c r="F193" s="1">
        <v>0</v>
      </c>
      <c r="G193" s="33">
        <v>0.99809999999999999</v>
      </c>
      <c r="H193" s="105"/>
      <c r="I193" s="29">
        <v>21</v>
      </c>
      <c r="J193" s="4"/>
      <c r="K193" s="4"/>
      <c r="L193" s="1"/>
      <c r="M193" s="8"/>
      <c r="N193" s="105"/>
      <c r="O193" s="29">
        <v>21</v>
      </c>
      <c r="P193" s="4"/>
      <c r="Q193" s="4"/>
      <c r="R193" s="1"/>
      <c r="S193" s="33"/>
      <c r="T193" s="1"/>
    </row>
    <row r="194" spans="1:20" x14ac:dyDescent="0.2">
      <c r="A194" s="109"/>
      <c r="B194" s="105"/>
      <c r="C194" s="29">
        <v>47</v>
      </c>
      <c r="D194" s="4">
        <v>48.74</v>
      </c>
      <c r="E194" s="4">
        <v>65.477000000000004</v>
      </c>
      <c r="F194" s="1">
        <v>0</v>
      </c>
      <c r="G194" s="33">
        <v>0.99870000000000003</v>
      </c>
      <c r="H194" s="105"/>
      <c r="I194" s="29">
        <v>47</v>
      </c>
      <c r="J194" s="4"/>
      <c r="K194" s="4"/>
      <c r="L194" s="1"/>
      <c r="M194" s="8"/>
      <c r="N194" s="105"/>
      <c r="O194" s="29">
        <v>47</v>
      </c>
      <c r="P194" s="4"/>
      <c r="Q194" s="4"/>
      <c r="R194" s="1"/>
      <c r="S194" s="33"/>
      <c r="T194" s="1"/>
    </row>
    <row r="195" spans="1:20" x14ac:dyDescent="0.2">
      <c r="A195" s="109"/>
      <c r="B195" s="105"/>
      <c r="C195" s="29">
        <v>50</v>
      </c>
      <c r="D195" s="4">
        <v>48.89</v>
      </c>
      <c r="E195" s="4">
        <v>65.543000000000006</v>
      </c>
      <c r="F195" s="1">
        <v>0</v>
      </c>
      <c r="G195" s="33">
        <v>0.99719999999999998</v>
      </c>
      <c r="H195" s="105"/>
      <c r="I195" s="29">
        <v>50</v>
      </c>
      <c r="J195" s="4"/>
      <c r="K195" s="4"/>
      <c r="L195" s="1"/>
      <c r="M195" s="8"/>
      <c r="N195" s="105"/>
      <c r="O195" s="29">
        <v>50</v>
      </c>
      <c r="P195" s="4"/>
      <c r="Q195" s="4"/>
      <c r="R195" s="1"/>
      <c r="S195" s="33"/>
      <c r="T195" s="1"/>
    </row>
    <row r="196" spans="1:20" x14ac:dyDescent="0.2">
      <c r="A196" s="109"/>
      <c r="B196" s="105"/>
      <c r="C196" s="30">
        <v>91</v>
      </c>
      <c r="D196" s="27">
        <v>48.65</v>
      </c>
      <c r="E196" s="27">
        <v>65.436999999999998</v>
      </c>
      <c r="F196" s="26">
        <v>0</v>
      </c>
      <c r="G196" s="52">
        <v>0.99960000000000004</v>
      </c>
      <c r="H196" s="105"/>
      <c r="I196" s="30">
        <v>91</v>
      </c>
      <c r="J196" s="27"/>
      <c r="K196" s="27"/>
      <c r="L196" s="26"/>
      <c r="M196" s="32"/>
      <c r="N196" s="105"/>
      <c r="O196" s="30">
        <v>91</v>
      </c>
      <c r="P196" s="27"/>
      <c r="Q196" s="27"/>
      <c r="R196" s="26"/>
      <c r="S196" s="52"/>
      <c r="T196" s="1"/>
    </row>
    <row r="197" spans="1:20" x14ac:dyDescent="0.2">
      <c r="A197" s="110"/>
      <c r="B197" s="106"/>
      <c r="C197" s="6" t="s">
        <v>8</v>
      </c>
      <c r="D197" s="7">
        <f>AVERAGE(D192:D196)</f>
        <v>48.766000000000005</v>
      </c>
      <c r="E197" s="7">
        <f>AVERAGE(E192:E196)</f>
        <v>65.488200000000006</v>
      </c>
      <c r="F197" s="35">
        <f>AVERAGE(F192:F196)</f>
        <v>0</v>
      </c>
      <c r="G197" s="34">
        <f>AVERAGE(G192:G196)</f>
        <v>0.99844000000000011</v>
      </c>
      <c r="H197" s="106"/>
      <c r="I197" s="6" t="s">
        <v>8</v>
      </c>
      <c r="J197" s="7" t="e">
        <f>AVERAGE(J192:J196)</f>
        <v>#DIV/0!</v>
      </c>
      <c r="K197" s="7" t="e">
        <f>AVERAGE(K192:K196)</f>
        <v>#DIV/0!</v>
      </c>
      <c r="L197" s="35" t="e">
        <f>AVERAGE(L192:L196)</f>
        <v>#DIV/0!</v>
      </c>
      <c r="M197" s="34" t="e">
        <f>AVERAGE(M192:M196)</f>
        <v>#DIV/0!</v>
      </c>
      <c r="N197" s="106"/>
      <c r="O197" s="6" t="s">
        <v>8</v>
      </c>
      <c r="P197" s="7" t="e">
        <f>AVERAGE(P192:P196)</f>
        <v>#DIV/0!</v>
      </c>
      <c r="Q197" s="7" t="e">
        <f>AVERAGE(Q192:Q196)</f>
        <v>#DIV/0!</v>
      </c>
      <c r="R197" s="35" t="e">
        <f>AVERAGE(R192:R196)</f>
        <v>#DIV/0!</v>
      </c>
      <c r="S197" s="11" t="e">
        <f>AVERAGE(S192:S196)</f>
        <v>#DIV/0!</v>
      </c>
      <c r="T197" s="1"/>
    </row>
    <row r="198" spans="1:2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">
      <c r="A200" s="120" t="s">
        <v>23</v>
      </c>
      <c r="B200" s="107" t="s">
        <v>0</v>
      </c>
      <c r="C200" s="108"/>
      <c r="D200" s="108"/>
      <c r="E200" s="108"/>
      <c r="F200" s="108"/>
      <c r="G200" s="111"/>
      <c r="H200" s="107" t="s">
        <v>1</v>
      </c>
      <c r="I200" s="108"/>
      <c r="J200" s="108"/>
      <c r="K200" s="108"/>
      <c r="L200" s="108"/>
      <c r="M200" s="111"/>
      <c r="N200" s="107" t="s">
        <v>2</v>
      </c>
      <c r="O200" s="108"/>
      <c r="P200" s="108"/>
      <c r="Q200" s="108"/>
      <c r="R200" s="108"/>
      <c r="S200" s="111"/>
      <c r="T200" s="1"/>
    </row>
    <row r="201" spans="1:20" x14ac:dyDescent="0.2">
      <c r="A201" s="121"/>
      <c r="B201" s="19" t="s">
        <v>3</v>
      </c>
      <c r="C201" s="1" t="s">
        <v>4</v>
      </c>
      <c r="D201" s="1" t="s">
        <v>6</v>
      </c>
      <c r="E201" s="2" t="s">
        <v>7</v>
      </c>
      <c r="F201" s="1" t="s">
        <v>24</v>
      </c>
      <c r="G201" s="8" t="s">
        <v>25</v>
      </c>
      <c r="H201" s="19" t="s">
        <v>3</v>
      </c>
      <c r="I201" s="1" t="s">
        <v>4</v>
      </c>
      <c r="J201" s="1" t="s">
        <v>6</v>
      </c>
      <c r="K201" s="2" t="s">
        <v>7</v>
      </c>
      <c r="L201" s="1" t="s">
        <v>24</v>
      </c>
      <c r="M201" s="8" t="s">
        <v>25</v>
      </c>
      <c r="N201" s="19" t="s">
        <v>3</v>
      </c>
      <c r="O201" s="1" t="s">
        <v>4</v>
      </c>
      <c r="P201" s="1" t="s">
        <v>6</v>
      </c>
      <c r="Q201" s="2" t="s">
        <v>7</v>
      </c>
      <c r="R201" s="1" t="s">
        <v>24</v>
      </c>
      <c r="S201" s="8" t="s">
        <v>25</v>
      </c>
      <c r="T201" s="1"/>
    </row>
    <row r="202" spans="1:20" x14ac:dyDescent="0.2">
      <c r="A202" s="122">
        <v>1</v>
      </c>
      <c r="B202" s="104">
        <v>16</v>
      </c>
      <c r="C202" s="28">
        <v>13</v>
      </c>
      <c r="D202" s="51">
        <v>75.66</v>
      </c>
      <c r="E202" s="4">
        <v>74.254000000000005</v>
      </c>
      <c r="F202" s="25">
        <v>1351</v>
      </c>
      <c r="G202" s="36">
        <v>0.45929999999999999</v>
      </c>
      <c r="H202" s="104">
        <v>16</v>
      </c>
      <c r="I202" s="28">
        <v>13</v>
      </c>
      <c r="J202" s="51">
        <v>75.709999999999994</v>
      </c>
      <c r="K202" s="4">
        <v>74.515000000000001</v>
      </c>
      <c r="L202" s="25">
        <v>1310</v>
      </c>
      <c r="M202" s="36">
        <v>0.46700000000000003</v>
      </c>
      <c r="N202" s="104">
        <v>16</v>
      </c>
      <c r="O202" s="28">
        <v>13</v>
      </c>
      <c r="P202" s="51">
        <v>76.64</v>
      </c>
      <c r="Q202" s="4">
        <v>76.513000000000005</v>
      </c>
      <c r="R202" s="25">
        <v>1056</v>
      </c>
      <c r="S202" s="36">
        <v>0.50849999999999995</v>
      </c>
      <c r="T202" s="1"/>
    </row>
    <row r="203" spans="1:20" x14ac:dyDescent="0.2">
      <c r="A203" s="123"/>
      <c r="B203" s="105"/>
      <c r="C203" s="29">
        <v>21</v>
      </c>
      <c r="D203" s="4">
        <v>74.95</v>
      </c>
      <c r="E203" s="4">
        <v>74.852000000000004</v>
      </c>
      <c r="F203" s="1">
        <v>1133</v>
      </c>
      <c r="G203" s="33">
        <v>0.51</v>
      </c>
      <c r="H203" s="105"/>
      <c r="I203" s="29">
        <v>21</v>
      </c>
      <c r="J203" s="4">
        <v>75.02</v>
      </c>
      <c r="K203" s="4">
        <v>74.650000000000006</v>
      </c>
      <c r="L203" s="1">
        <v>1183</v>
      </c>
      <c r="M203" s="8">
        <v>0.49930000000000002</v>
      </c>
      <c r="N203" s="105"/>
      <c r="O203" s="29">
        <v>21</v>
      </c>
      <c r="P203" s="4">
        <v>76.849999999999994</v>
      </c>
      <c r="Q203" s="4">
        <v>77.548000000000002</v>
      </c>
      <c r="R203" s="1">
        <v>863</v>
      </c>
      <c r="S203" s="33">
        <v>0.54500000000000004</v>
      </c>
      <c r="T203" s="1"/>
    </row>
    <row r="204" spans="1:20" x14ac:dyDescent="0.2">
      <c r="A204" s="123"/>
      <c r="B204" s="105"/>
      <c r="C204" s="29">
        <v>47</v>
      </c>
      <c r="D204" s="4">
        <v>74.86</v>
      </c>
      <c r="E204" s="4">
        <v>75.63</v>
      </c>
      <c r="F204" s="1">
        <v>960</v>
      </c>
      <c r="G204" s="33">
        <v>0.54549999999999998</v>
      </c>
      <c r="H204" s="105"/>
      <c r="I204" s="29">
        <v>47</v>
      </c>
      <c r="J204" s="4">
        <v>75.290000000000006</v>
      </c>
      <c r="K204" s="4">
        <v>74.668999999999997</v>
      </c>
      <c r="L204" s="1">
        <v>1219</v>
      </c>
      <c r="M204" s="33">
        <v>0.4894</v>
      </c>
      <c r="N204" s="105"/>
      <c r="O204" s="29">
        <v>47</v>
      </c>
      <c r="P204" s="4">
        <v>77.41</v>
      </c>
      <c r="Q204" s="4">
        <v>78.268000000000001</v>
      </c>
      <c r="R204" s="1">
        <v>793</v>
      </c>
      <c r="S204" s="33">
        <v>0.5534</v>
      </c>
      <c r="T204" s="1"/>
    </row>
    <row r="205" spans="1:20" x14ac:dyDescent="0.2">
      <c r="A205" s="123"/>
      <c r="B205" s="105"/>
      <c r="C205" s="29">
        <v>50</v>
      </c>
      <c r="D205" s="4">
        <v>74.569999999999993</v>
      </c>
      <c r="E205" s="4">
        <v>74.311000000000007</v>
      </c>
      <c r="F205" s="1">
        <v>1183</v>
      </c>
      <c r="G205" s="33">
        <v>0.50380000000000003</v>
      </c>
      <c r="H205" s="105"/>
      <c r="I205" s="29">
        <v>50</v>
      </c>
      <c r="J205" s="4">
        <v>75.709999999999994</v>
      </c>
      <c r="K205" s="4">
        <v>76.197999999999993</v>
      </c>
      <c r="L205" s="1">
        <v>973</v>
      </c>
      <c r="M205" s="8">
        <v>0.53439999999999999</v>
      </c>
      <c r="N205" s="105"/>
      <c r="O205" s="29">
        <v>50</v>
      </c>
      <c r="P205" s="4">
        <v>75.08</v>
      </c>
      <c r="Q205" s="4">
        <v>74.69</v>
      </c>
      <c r="R205" s="1">
        <v>1184</v>
      </c>
      <c r="S205" s="33">
        <v>0.4985</v>
      </c>
      <c r="T205" s="1"/>
    </row>
    <row r="206" spans="1:20" x14ac:dyDescent="0.2">
      <c r="A206" s="123"/>
      <c r="B206" s="105"/>
      <c r="C206" s="30">
        <v>91</v>
      </c>
      <c r="D206" s="27">
        <v>74.22</v>
      </c>
      <c r="E206" s="27">
        <v>74.78</v>
      </c>
      <c r="F206" s="26">
        <v>1039</v>
      </c>
      <c r="G206" s="52">
        <v>0.53610000000000002</v>
      </c>
      <c r="H206" s="105"/>
      <c r="I206" s="30">
        <v>91</v>
      </c>
      <c r="J206" s="27">
        <v>75.98</v>
      </c>
      <c r="K206" s="27">
        <v>76.953000000000003</v>
      </c>
      <c r="L206" s="26">
        <v>851</v>
      </c>
      <c r="M206" s="32">
        <v>0.55610000000000004</v>
      </c>
      <c r="N206" s="105"/>
      <c r="O206" s="30">
        <v>91</v>
      </c>
      <c r="P206" s="27">
        <v>76</v>
      </c>
      <c r="Q206" s="27">
        <v>76.694999999999993</v>
      </c>
      <c r="R206" s="26">
        <v>912</v>
      </c>
      <c r="S206" s="52">
        <v>0.54369999999999996</v>
      </c>
      <c r="T206" s="1"/>
    </row>
    <row r="207" spans="1:20" x14ac:dyDescent="0.2">
      <c r="A207" s="121"/>
      <c r="B207" s="105"/>
      <c r="C207" s="6" t="s">
        <v>8</v>
      </c>
      <c r="D207" s="7">
        <f>AVERAGE(D202:D206)</f>
        <v>74.852000000000004</v>
      </c>
      <c r="E207" s="7">
        <f>AVERAGE(E202:E206)</f>
        <v>74.7654</v>
      </c>
      <c r="F207" s="35">
        <f>AVERAGE(F202:F206)</f>
        <v>1133.2</v>
      </c>
      <c r="G207" s="34">
        <f>AVERAGE(G202:G206)</f>
        <v>0.51094000000000006</v>
      </c>
      <c r="H207" s="105"/>
      <c r="I207" s="6" t="s">
        <v>8</v>
      </c>
      <c r="J207" s="7">
        <f>AVERAGE(J202:J206)</f>
        <v>75.542000000000002</v>
      </c>
      <c r="K207" s="7">
        <f>AVERAGE(K202:K206)</f>
        <v>75.397000000000006</v>
      </c>
      <c r="L207" s="35">
        <f>AVERAGE(L202:L206)</f>
        <v>1107.2</v>
      </c>
      <c r="M207" s="34">
        <f>AVERAGE(M202:M206)</f>
        <v>0.50923999999999991</v>
      </c>
      <c r="N207" s="105"/>
      <c r="O207" s="6" t="s">
        <v>8</v>
      </c>
      <c r="P207" s="7">
        <f>AVERAGE(P202:P206)</f>
        <v>76.396000000000001</v>
      </c>
      <c r="Q207" s="7">
        <f>AVERAGE(Q202:Q206)</f>
        <v>76.742800000000003</v>
      </c>
      <c r="R207" s="35">
        <f>AVERAGE(R202:R206)</f>
        <v>961.6</v>
      </c>
      <c r="S207" s="34">
        <f>AVERAGE(S202:S206)</f>
        <v>0.52981999999999996</v>
      </c>
      <c r="T207" s="1"/>
    </row>
    <row r="208" spans="1:20" x14ac:dyDescent="0.2">
      <c r="A208" s="119">
        <v>1.2</v>
      </c>
      <c r="B208" s="105"/>
      <c r="C208" s="28">
        <v>13</v>
      </c>
      <c r="D208" s="25">
        <v>75.319999999999993</v>
      </c>
      <c r="E208" s="25">
        <v>75.319999999999993</v>
      </c>
      <c r="F208" s="25">
        <v>1095</v>
      </c>
      <c r="G208" s="36">
        <v>0.51390000000000002</v>
      </c>
      <c r="H208" s="105"/>
      <c r="I208" s="28">
        <v>13</v>
      </c>
      <c r="J208" s="25"/>
      <c r="K208" s="25"/>
      <c r="L208" s="25"/>
      <c r="M208" s="31"/>
      <c r="N208" s="105"/>
      <c r="O208" s="28">
        <v>13</v>
      </c>
      <c r="P208" s="25"/>
      <c r="Q208" s="1"/>
      <c r="R208" s="25"/>
      <c r="S208" s="36"/>
      <c r="T208" s="1"/>
    </row>
    <row r="209" spans="1:20" x14ac:dyDescent="0.2">
      <c r="A209" s="109"/>
      <c r="B209" s="105"/>
      <c r="C209" s="29">
        <v>21</v>
      </c>
      <c r="D209" s="4">
        <v>74.86</v>
      </c>
      <c r="E209" s="4">
        <v>74.616</v>
      </c>
      <c r="F209" s="1">
        <v>1166</v>
      </c>
      <c r="G209" s="33">
        <v>0.50429999999999997</v>
      </c>
      <c r="H209" s="105"/>
      <c r="I209" s="29">
        <v>21</v>
      </c>
      <c r="J209" s="4"/>
      <c r="K209" s="4"/>
      <c r="L209" s="1"/>
      <c r="M209" s="8"/>
      <c r="N209" s="105"/>
      <c r="O209" s="29">
        <v>21</v>
      </c>
      <c r="P209" s="4"/>
      <c r="Q209" s="4"/>
      <c r="R209" s="1"/>
      <c r="S209" s="33"/>
      <c r="T209" s="1"/>
    </row>
    <row r="210" spans="1:20" x14ac:dyDescent="0.2">
      <c r="A210" s="109"/>
      <c r="B210" s="105"/>
      <c r="C210" s="29">
        <v>47</v>
      </c>
      <c r="D210" s="4">
        <v>74.94</v>
      </c>
      <c r="E210" s="4">
        <v>74.894999999999996</v>
      </c>
      <c r="F210" s="1">
        <v>1123</v>
      </c>
      <c r="G210" s="33">
        <v>0.5121</v>
      </c>
      <c r="H210" s="105"/>
      <c r="I210" s="29">
        <v>47</v>
      </c>
      <c r="J210" s="4"/>
      <c r="K210" s="4"/>
      <c r="L210" s="1"/>
      <c r="M210" s="8"/>
      <c r="N210" s="105"/>
      <c r="O210" s="29">
        <v>47</v>
      </c>
      <c r="P210" s="4"/>
      <c r="Q210" s="4"/>
      <c r="R210" s="1"/>
      <c r="S210" s="33"/>
      <c r="T210" s="1"/>
    </row>
    <row r="211" spans="1:20" x14ac:dyDescent="0.2">
      <c r="A211" s="109"/>
      <c r="B211" s="105"/>
      <c r="C211" s="29">
        <v>50</v>
      </c>
      <c r="D211" s="4">
        <v>74.709999999999994</v>
      </c>
      <c r="E211" s="4">
        <v>75.647999999999996</v>
      </c>
      <c r="F211" s="1">
        <v>933</v>
      </c>
      <c r="G211" s="33">
        <v>0.5524</v>
      </c>
      <c r="H211" s="105"/>
      <c r="I211" s="29">
        <v>50</v>
      </c>
      <c r="J211" s="4"/>
      <c r="K211" s="4"/>
      <c r="L211" s="1"/>
      <c r="M211" s="8"/>
      <c r="N211" s="105"/>
      <c r="O211" s="29">
        <v>50</v>
      </c>
      <c r="P211" s="4"/>
      <c r="Q211" s="4"/>
      <c r="R211" s="1"/>
      <c r="S211" s="33"/>
      <c r="T211" s="1"/>
    </row>
    <row r="212" spans="1:20" x14ac:dyDescent="0.2">
      <c r="A212" s="109"/>
      <c r="B212" s="105"/>
      <c r="C212" s="30">
        <v>91</v>
      </c>
      <c r="D212" s="27">
        <v>74.55</v>
      </c>
      <c r="E212" s="27">
        <v>75.221000000000004</v>
      </c>
      <c r="F212" s="26">
        <v>998</v>
      </c>
      <c r="G212" s="52">
        <v>0.54100000000000004</v>
      </c>
      <c r="H212" s="105"/>
      <c r="I212" s="30">
        <v>91</v>
      </c>
      <c r="J212" s="27"/>
      <c r="K212" s="27"/>
      <c r="L212" s="26"/>
      <c r="M212" s="32"/>
      <c r="N212" s="105"/>
      <c r="O212" s="30">
        <v>91</v>
      </c>
      <c r="P212" s="27"/>
      <c r="Q212" s="27"/>
      <c r="R212" s="26"/>
      <c r="S212" s="52"/>
      <c r="T212" s="1"/>
    </row>
    <row r="213" spans="1:20" x14ac:dyDescent="0.2">
      <c r="A213" s="110"/>
      <c r="B213" s="105"/>
      <c r="C213" s="6" t="s">
        <v>8</v>
      </c>
      <c r="D213" s="7">
        <f>AVERAGE(D208:D212)</f>
        <v>74.876000000000005</v>
      </c>
      <c r="E213" s="7">
        <f>AVERAGE(E208:E212)</f>
        <v>75.139999999999986</v>
      </c>
      <c r="F213" s="35">
        <f>AVERAGE(F208:F212)</f>
        <v>1063</v>
      </c>
      <c r="G213" s="34">
        <f>AVERAGE(G208:G212)</f>
        <v>0.52473999999999998</v>
      </c>
      <c r="H213" s="105"/>
      <c r="I213" s="6" t="s">
        <v>8</v>
      </c>
      <c r="J213" s="7" t="e">
        <f>AVERAGE(J208:J212)</f>
        <v>#DIV/0!</v>
      </c>
      <c r="K213" s="7" t="e">
        <f>AVERAGE(K208:K212)</f>
        <v>#DIV/0!</v>
      </c>
      <c r="L213" s="35" t="e">
        <f>AVERAGE(L208:L212)</f>
        <v>#DIV/0!</v>
      </c>
      <c r="M213" s="34" t="e">
        <f>AVERAGE(M208:M212)</f>
        <v>#DIV/0!</v>
      </c>
      <c r="N213" s="105"/>
      <c r="O213" s="6" t="s">
        <v>8</v>
      </c>
      <c r="P213" s="7" t="e">
        <f>AVERAGE(P208:P212)</f>
        <v>#DIV/0!</v>
      </c>
      <c r="Q213" s="7" t="e">
        <f>AVERAGE(Q208:Q212)</f>
        <v>#DIV/0!</v>
      </c>
      <c r="R213" s="35" t="e">
        <f>AVERAGE(R208:R212)</f>
        <v>#DIV/0!</v>
      </c>
      <c r="S213" s="34" t="e">
        <f>AVERAGE(S208:S212)</f>
        <v>#DIV/0!</v>
      </c>
      <c r="T213" s="1"/>
    </row>
    <row r="214" spans="1:20" x14ac:dyDescent="0.2">
      <c r="A214" s="119">
        <v>1.4</v>
      </c>
      <c r="B214" s="105"/>
      <c r="C214" s="28">
        <v>13</v>
      </c>
      <c r="D214" s="25">
        <v>70.510000000000005</v>
      </c>
      <c r="E214" s="25">
        <v>75.304000000000002</v>
      </c>
      <c r="F214" s="25">
        <v>365</v>
      </c>
      <c r="G214" s="36">
        <v>0.70799999999999996</v>
      </c>
      <c r="H214" s="105"/>
      <c r="I214" s="28">
        <v>13</v>
      </c>
      <c r="J214" s="25"/>
      <c r="K214" s="25"/>
      <c r="L214" s="25"/>
      <c r="M214" s="31"/>
      <c r="N214" s="105"/>
      <c r="O214" s="28">
        <v>13</v>
      </c>
      <c r="P214" s="25"/>
      <c r="Q214" s="25"/>
      <c r="R214" s="25"/>
      <c r="S214" s="36"/>
      <c r="T214" s="1"/>
    </row>
    <row r="215" spans="1:20" x14ac:dyDescent="0.2">
      <c r="A215" s="109"/>
      <c r="B215" s="105"/>
      <c r="C215" s="29">
        <v>21</v>
      </c>
      <c r="D215" s="4">
        <v>68.33</v>
      </c>
      <c r="E215" s="4">
        <v>74.400000000000006</v>
      </c>
      <c r="F215" s="1">
        <v>259</v>
      </c>
      <c r="G215" s="33">
        <v>0.751</v>
      </c>
      <c r="H215" s="105"/>
      <c r="I215" s="29">
        <v>21</v>
      </c>
      <c r="J215" s="4"/>
      <c r="K215" s="4"/>
      <c r="L215" s="1"/>
      <c r="M215" s="8"/>
      <c r="N215" s="105"/>
      <c r="O215" s="29">
        <v>21</v>
      </c>
      <c r="P215" s="4"/>
      <c r="Q215" s="4"/>
      <c r="R215" s="1"/>
      <c r="S215" s="33"/>
      <c r="T215" s="1"/>
    </row>
    <row r="216" spans="1:20" x14ac:dyDescent="0.2">
      <c r="A216" s="109"/>
      <c r="B216" s="105"/>
      <c r="C216" s="29">
        <v>47</v>
      </c>
      <c r="D216" s="4">
        <v>70.510000000000005</v>
      </c>
      <c r="E216" s="4">
        <v>75.397999999999996</v>
      </c>
      <c r="F216" s="1">
        <v>342</v>
      </c>
      <c r="G216" s="33">
        <v>0.71260000000000001</v>
      </c>
      <c r="H216" s="105"/>
      <c r="I216" s="29">
        <v>47</v>
      </c>
      <c r="J216" s="4"/>
      <c r="K216" s="4"/>
      <c r="L216" s="1"/>
      <c r="M216" s="8"/>
      <c r="N216" s="105"/>
      <c r="O216" s="29">
        <v>47</v>
      </c>
      <c r="P216" s="4"/>
      <c r="Q216" s="4"/>
      <c r="R216" s="1"/>
      <c r="S216" s="33"/>
      <c r="T216" s="1"/>
    </row>
    <row r="217" spans="1:20" x14ac:dyDescent="0.2">
      <c r="A217" s="109"/>
      <c r="B217" s="105"/>
      <c r="C217" s="29">
        <v>50</v>
      </c>
      <c r="D217" s="4">
        <v>67.209999999999994</v>
      </c>
      <c r="E217" s="4">
        <v>74.167000000000002</v>
      </c>
      <c r="F217" s="1">
        <v>154</v>
      </c>
      <c r="G217" s="33">
        <v>0.78320000000000001</v>
      </c>
      <c r="H217" s="105"/>
      <c r="I217" s="29">
        <v>50</v>
      </c>
      <c r="J217" s="4"/>
      <c r="K217" s="4"/>
      <c r="L217" s="1"/>
      <c r="M217" s="8"/>
      <c r="N217" s="105"/>
      <c r="O217" s="29">
        <v>50</v>
      </c>
      <c r="P217" s="4"/>
      <c r="Q217" s="4"/>
      <c r="R217" s="1"/>
      <c r="S217" s="33"/>
      <c r="T217" s="1"/>
    </row>
    <row r="218" spans="1:20" x14ac:dyDescent="0.2">
      <c r="A218" s="109"/>
      <c r="B218" s="105"/>
      <c r="C218" s="30">
        <v>91</v>
      </c>
      <c r="D218" s="27">
        <v>70.95</v>
      </c>
      <c r="E218" s="27">
        <v>75.994</v>
      </c>
      <c r="F218" s="26">
        <v>263</v>
      </c>
      <c r="G218" s="52">
        <v>0.72399999999999998</v>
      </c>
      <c r="H218" s="105"/>
      <c r="I218" s="30">
        <v>91</v>
      </c>
      <c r="J218" s="27"/>
      <c r="K218" s="27"/>
      <c r="L218" s="26"/>
      <c r="M218" s="32"/>
      <c r="N218" s="105"/>
      <c r="O218" s="30">
        <v>91</v>
      </c>
      <c r="P218" s="27"/>
      <c r="Q218" s="27"/>
      <c r="R218" s="26"/>
      <c r="S218" s="52"/>
      <c r="T218" s="1"/>
    </row>
    <row r="219" spans="1:20" x14ac:dyDescent="0.2">
      <c r="A219" s="110"/>
      <c r="B219" s="105"/>
      <c r="C219" s="6" t="s">
        <v>8</v>
      </c>
      <c r="D219" s="7">
        <f>AVERAGE(D214:D218)</f>
        <v>69.501999999999995</v>
      </c>
      <c r="E219" s="7">
        <f>AVERAGE(E214:E218)</f>
        <v>75.052600000000012</v>
      </c>
      <c r="F219" s="35">
        <f>AVERAGE(F214:F218)</f>
        <v>276.60000000000002</v>
      </c>
      <c r="G219" s="34">
        <f>AVERAGE(G214:G218)</f>
        <v>0.73575999999999997</v>
      </c>
      <c r="H219" s="105"/>
      <c r="I219" s="6" t="s">
        <v>8</v>
      </c>
      <c r="J219" s="7" t="e">
        <f>AVERAGE(J214:J218)</f>
        <v>#DIV/0!</v>
      </c>
      <c r="K219" s="7" t="e">
        <f>AVERAGE(K214:K218)</f>
        <v>#DIV/0!</v>
      </c>
      <c r="L219" s="35" t="e">
        <f>AVERAGE(L214:L218)</f>
        <v>#DIV/0!</v>
      </c>
      <c r="M219" s="34" t="e">
        <f>AVERAGE(M214:M218)</f>
        <v>#DIV/0!</v>
      </c>
      <c r="N219" s="105"/>
      <c r="O219" s="6" t="s">
        <v>8</v>
      </c>
      <c r="P219" s="7" t="e">
        <f>AVERAGE(P214:P218)</f>
        <v>#DIV/0!</v>
      </c>
      <c r="Q219" s="7" t="e">
        <f>AVERAGE(Q214:Q218)</f>
        <v>#DIV/0!</v>
      </c>
      <c r="R219" s="35" t="e">
        <f>AVERAGE(R214:R218)</f>
        <v>#DIV/0!</v>
      </c>
      <c r="S219" s="34" t="e">
        <f>AVERAGE(S214:S218)</f>
        <v>#DIV/0!</v>
      </c>
      <c r="T219" s="1"/>
    </row>
    <row r="220" spans="1:20" x14ac:dyDescent="0.2">
      <c r="A220" s="119">
        <v>1.6</v>
      </c>
      <c r="B220" s="105"/>
      <c r="C220" s="28">
        <v>13</v>
      </c>
      <c r="D220" s="25">
        <v>54.15</v>
      </c>
      <c r="E220" s="25">
        <v>67.908000000000001</v>
      </c>
      <c r="F220" s="25">
        <v>10</v>
      </c>
      <c r="G220" s="36">
        <v>0.94259999999999999</v>
      </c>
      <c r="H220" s="105"/>
      <c r="I220" s="28">
        <v>13</v>
      </c>
      <c r="J220" s="25"/>
      <c r="K220" s="25"/>
      <c r="L220" s="25"/>
      <c r="M220" s="31"/>
      <c r="N220" s="105"/>
      <c r="O220" s="28">
        <v>13</v>
      </c>
      <c r="P220" s="25"/>
      <c r="Q220" s="25"/>
      <c r="R220" s="25"/>
      <c r="S220" s="36"/>
      <c r="T220" s="1"/>
    </row>
    <row r="221" spans="1:20" x14ac:dyDescent="0.2">
      <c r="A221" s="109"/>
      <c r="B221" s="105"/>
      <c r="C221" s="29">
        <v>21</v>
      </c>
      <c r="D221" s="4">
        <v>53.27</v>
      </c>
      <c r="E221" s="4">
        <v>67.533000000000001</v>
      </c>
      <c r="F221" s="1">
        <v>1</v>
      </c>
      <c r="G221" s="33">
        <v>0.95320000000000005</v>
      </c>
      <c r="H221" s="105"/>
      <c r="I221" s="29">
        <v>21</v>
      </c>
      <c r="J221" s="4"/>
      <c r="K221" s="4"/>
      <c r="L221" s="1"/>
      <c r="M221" s="8"/>
      <c r="N221" s="105"/>
      <c r="O221" s="29">
        <v>21</v>
      </c>
      <c r="P221" s="4"/>
      <c r="Q221" s="4"/>
      <c r="R221" s="1"/>
      <c r="S221" s="33"/>
      <c r="T221" s="1"/>
    </row>
    <row r="222" spans="1:20" x14ac:dyDescent="0.2">
      <c r="A222" s="109"/>
      <c r="B222" s="105"/>
      <c r="C222" s="29">
        <v>47</v>
      </c>
      <c r="D222" s="4">
        <v>54.4</v>
      </c>
      <c r="E222" s="4">
        <v>68.031000000000006</v>
      </c>
      <c r="F222" s="1">
        <v>9</v>
      </c>
      <c r="G222" s="33">
        <v>0.94030000000000002</v>
      </c>
      <c r="H222" s="105"/>
      <c r="I222" s="29">
        <v>47</v>
      </c>
      <c r="J222" s="4"/>
      <c r="K222" s="4"/>
      <c r="L222" s="1"/>
      <c r="M222" s="33"/>
      <c r="N222" s="105"/>
      <c r="O222" s="29">
        <v>47</v>
      </c>
      <c r="P222" s="4"/>
      <c r="Q222" s="4"/>
      <c r="R222" s="1"/>
      <c r="S222" s="33"/>
      <c r="T222" s="1"/>
    </row>
    <row r="223" spans="1:20" x14ac:dyDescent="0.2">
      <c r="A223" s="109"/>
      <c r="B223" s="105"/>
      <c r="C223" s="29">
        <v>50</v>
      </c>
      <c r="D223" s="4">
        <v>53.26</v>
      </c>
      <c r="E223" s="4">
        <v>67.524000000000001</v>
      </c>
      <c r="F223" s="1">
        <v>2</v>
      </c>
      <c r="G223" s="33">
        <v>0.95309999999999995</v>
      </c>
      <c r="H223" s="105"/>
      <c r="I223" s="29">
        <v>50</v>
      </c>
      <c r="J223" s="4"/>
      <c r="K223" s="4"/>
      <c r="L223" s="1"/>
      <c r="M223" s="8"/>
      <c r="N223" s="105"/>
      <c r="O223" s="29">
        <v>50</v>
      </c>
      <c r="P223" s="4"/>
      <c r="Q223" s="4"/>
      <c r="R223" s="1"/>
      <c r="S223" s="33"/>
      <c r="T223" s="1"/>
    </row>
    <row r="224" spans="1:20" x14ac:dyDescent="0.2">
      <c r="A224" s="109"/>
      <c r="B224" s="105"/>
      <c r="C224" s="30">
        <v>91</v>
      </c>
      <c r="D224" s="27">
        <v>49.95</v>
      </c>
      <c r="E224" s="27">
        <v>66.015000000000001</v>
      </c>
      <c r="F224" s="26">
        <v>0</v>
      </c>
      <c r="G224" s="52">
        <v>0.98660000000000003</v>
      </c>
      <c r="H224" s="105"/>
      <c r="I224" s="30">
        <v>91</v>
      </c>
      <c r="J224" s="27"/>
      <c r="K224" s="27"/>
      <c r="L224" s="26"/>
      <c r="M224" s="56"/>
      <c r="N224" s="105"/>
      <c r="O224" s="30">
        <v>91</v>
      </c>
      <c r="P224" s="27"/>
      <c r="Q224" s="27"/>
      <c r="R224" s="26"/>
      <c r="S224" s="52"/>
      <c r="T224" s="1"/>
    </row>
    <row r="225" spans="1:20" x14ac:dyDescent="0.2">
      <c r="A225" s="110"/>
      <c r="B225" s="105"/>
      <c r="C225" s="6" t="s">
        <v>8</v>
      </c>
      <c r="D225" s="7">
        <f>AVERAGE(D220:D224)</f>
        <v>53.005999999999993</v>
      </c>
      <c r="E225" s="7">
        <f>AVERAGE(E220:E224)</f>
        <v>67.402199999999993</v>
      </c>
      <c r="F225" s="35">
        <f>AVERAGE(F220:F224)</f>
        <v>4.4000000000000004</v>
      </c>
      <c r="G225" s="34">
        <f>AVERAGE(G220:G224)</f>
        <v>0.95516000000000001</v>
      </c>
      <c r="H225" s="105"/>
      <c r="I225" s="6" t="s">
        <v>8</v>
      </c>
      <c r="J225" s="7" t="e">
        <f>AVERAGE(J220:J224)</f>
        <v>#DIV/0!</v>
      </c>
      <c r="K225" s="7" t="e">
        <f>AVERAGE(K220:K224)</f>
        <v>#DIV/0!</v>
      </c>
      <c r="L225" s="35" t="e">
        <f>AVERAGE(L220:L224)</f>
        <v>#DIV/0!</v>
      </c>
      <c r="M225" s="34" t="e">
        <f>AVERAGE(M220:M224)</f>
        <v>#DIV/0!</v>
      </c>
      <c r="N225" s="105"/>
      <c r="O225" s="6" t="s">
        <v>8</v>
      </c>
      <c r="P225" s="7" t="e">
        <f>AVERAGE(P220:P224)</f>
        <v>#DIV/0!</v>
      </c>
      <c r="Q225" s="7" t="e">
        <f>AVERAGE(Q220:Q224)</f>
        <v>#DIV/0!</v>
      </c>
      <c r="R225" s="35" t="e">
        <f>AVERAGE(R220:R224)</f>
        <v>#DIV/0!</v>
      </c>
      <c r="S225" s="34" t="e">
        <f>AVERAGE(S220:S224)</f>
        <v>#DIV/0!</v>
      </c>
      <c r="T225" s="1"/>
    </row>
    <row r="226" spans="1:20" x14ac:dyDescent="0.2">
      <c r="A226" s="119">
        <v>1.8</v>
      </c>
      <c r="B226" s="105"/>
      <c r="C226" s="28">
        <v>13</v>
      </c>
      <c r="D226" s="25">
        <v>49.35</v>
      </c>
      <c r="E226" s="25">
        <v>65.747</v>
      </c>
      <c r="F226" s="25">
        <v>0</v>
      </c>
      <c r="G226" s="36">
        <v>0.99260000000000004</v>
      </c>
      <c r="H226" s="105"/>
      <c r="I226" s="28">
        <v>13</v>
      </c>
      <c r="J226" s="25"/>
      <c r="K226" s="25"/>
      <c r="L226" s="25"/>
      <c r="M226" s="31"/>
      <c r="N226" s="105"/>
      <c r="O226" s="28">
        <v>13</v>
      </c>
      <c r="P226" s="25"/>
      <c r="Q226" s="25"/>
      <c r="R226" s="25"/>
      <c r="S226" s="36"/>
      <c r="T226" s="1"/>
    </row>
    <row r="227" spans="1:20" x14ac:dyDescent="0.2">
      <c r="A227" s="109"/>
      <c r="B227" s="105"/>
      <c r="C227" s="29">
        <v>21</v>
      </c>
      <c r="D227" s="4">
        <v>48.89</v>
      </c>
      <c r="E227" s="4">
        <v>65.543000000000006</v>
      </c>
      <c r="F227" s="1">
        <v>0</v>
      </c>
      <c r="G227" s="33">
        <v>0.99719999999999998</v>
      </c>
      <c r="H227" s="105"/>
      <c r="I227" s="29">
        <v>21</v>
      </c>
      <c r="J227" s="4"/>
      <c r="K227" s="4"/>
      <c r="L227" s="1"/>
      <c r="M227" s="8"/>
      <c r="N227" s="105"/>
      <c r="O227" s="29">
        <v>21</v>
      </c>
      <c r="P227" s="4"/>
      <c r="Q227" s="4"/>
      <c r="R227" s="1"/>
      <c r="S227" s="33"/>
      <c r="T227" s="1"/>
    </row>
    <row r="228" spans="1:20" x14ac:dyDescent="0.2">
      <c r="A228" s="109"/>
      <c r="B228" s="105"/>
      <c r="C228" s="29">
        <v>47</v>
      </c>
      <c r="D228" s="4">
        <v>49.19</v>
      </c>
      <c r="E228" s="4">
        <v>65.676000000000002</v>
      </c>
      <c r="F228" s="1">
        <v>0</v>
      </c>
      <c r="G228" s="33">
        <v>0.99419999999999997</v>
      </c>
      <c r="H228" s="105"/>
      <c r="I228" s="29">
        <v>47</v>
      </c>
      <c r="J228" s="4"/>
      <c r="K228" s="4"/>
      <c r="L228" s="1"/>
      <c r="M228" s="8"/>
      <c r="N228" s="105"/>
      <c r="O228" s="29">
        <v>47</v>
      </c>
      <c r="P228" s="4"/>
      <c r="Q228" s="4"/>
      <c r="R228" s="1"/>
      <c r="S228" s="33"/>
      <c r="T228" s="1"/>
    </row>
    <row r="229" spans="1:20" x14ac:dyDescent="0.2">
      <c r="A229" s="109"/>
      <c r="B229" s="105"/>
      <c r="C229" s="29">
        <v>50</v>
      </c>
      <c r="D229" s="4">
        <v>48.97</v>
      </c>
      <c r="E229" s="4">
        <v>65.578000000000003</v>
      </c>
      <c r="F229" s="1">
        <v>0</v>
      </c>
      <c r="G229" s="33">
        <v>0.99639999999999995</v>
      </c>
      <c r="H229" s="105"/>
      <c r="I229" s="29">
        <v>50</v>
      </c>
      <c r="J229" s="4"/>
      <c r="K229" s="4"/>
      <c r="L229" s="1"/>
      <c r="M229" s="8"/>
      <c r="N229" s="105"/>
      <c r="O229" s="29">
        <v>50</v>
      </c>
      <c r="P229" s="4"/>
      <c r="Q229" s="4"/>
      <c r="R229" s="1"/>
      <c r="S229" s="33"/>
      <c r="T229" s="1"/>
    </row>
    <row r="230" spans="1:20" x14ac:dyDescent="0.2">
      <c r="A230" s="109"/>
      <c r="B230" s="105"/>
      <c r="C230" s="30">
        <v>91</v>
      </c>
      <c r="D230" s="27">
        <v>48.61</v>
      </c>
      <c r="E230" s="27">
        <v>65.42</v>
      </c>
      <c r="F230" s="26">
        <v>0</v>
      </c>
      <c r="G230" s="52">
        <v>1</v>
      </c>
      <c r="H230" s="105"/>
      <c r="I230" s="30">
        <v>91</v>
      </c>
      <c r="J230" s="27"/>
      <c r="K230" s="27"/>
      <c r="L230" s="26"/>
      <c r="M230" s="32"/>
      <c r="N230" s="105"/>
      <c r="O230" s="30">
        <v>91</v>
      </c>
      <c r="P230" s="27"/>
      <c r="Q230" s="27"/>
      <c r="R230" s="26"/>
      <c r="S230" s="52"/>
      <c r="T230" s="1"/>
    </row>
    <row r="231" spans="1:20" x14ac:dyDescent="0.2">
      <c r="A231" s="110"/>
      <c r="B231" s="105"/>
      <c r="C231" s="6" t="s">
        <v>8</v>
      </c>
      <c r="D231" s="7">
        <f>AVERAGE(D226:D230)</f>
        <v>49.001999999999995</v>
      </c>
      <c r="E231" s="7">
        <f>AVERAGE(E226:E230)</f>
        <v>65.592799999999997</v>
      </c>
      <c r="F231" s="35">
        <f>AVERAGE(F226:F230)</f>
        <v>0</v>
      </c>
      <c r="G231" s="34">
        <f>AVERAGE(G226:G230)</f>
        <v>0.99607999999999985</v>
      </c>
      <c r="H231" s="105"/>
      <c r="I231" s="6" t="s">
        <v>8</v>
      </c>
      <c r="J231" s="7" t="e">
        <f>AVERAGE(J226:J230)</f>
        <v>#DIV/0!</v>
      </c>
      <c r="K231" s="7" t="e">
        <f>AVERAGE(K226:K230)</f>
        <v>#DIV/0!</v>
      </c>
      <c r="L231" s="35" t="e">
        <f>AVERAGE(L226:L230)</f>
        <v>#DIV/0!</v>
      </c>
      <c r="M231" s="34" t="e">
        <f>AVERAGE(M226:M230)</f>
        <v>#DIV/0!</v>
      </c>
      <c r="N231" s="105"/>
      <c r="O231" s="6" t="s">
        <v>8</v>
      </c>
      <c r="P231" s="7" t="e">
        <f>AVERAGE(P226:P230)</f>
        <v>#DIV/0!</v>
      </c>
      <c r="Q231" s="7" t="e">
        <f>AVERAGE(Q226:Q230)</f>
        <v>#DIV/0!</v>
      </c>
      <c r="R231" s="35" t="e">
        <f>AVERAGE(R226:R230)</f>
        <v>#DIV/0!</v>
      </c>
      <c r="S231" s="34" t="e">
        <f>AVERAGE(S226:S230)</f>
        <v>#DIV/0!</v>
      </c>
      <c r="T231" s="1"/>
    </row>
    <row r="232" spans="1:20" x14ac:dyDescent="0.2">
      <c r="A232" s="119">
        <v>2</v>
      </c>
      <c r="B232" s="105"/>
      <c r="C232" s="28">
        <v>13</v>
      </c>
      <c r="D232" s="25">
        <v>48.62</v>
      </c>
      <c r="E232" s="51">
        <v>65.424000000000007</v>
      </c>
      <c r="F232" s="25">
        <v>0</v>
      </c>
      <c r="G232" s="36">
        <v>0.99990000000000001</v>
      </c>
      <c r="H232" s="105"/>
      <c r="I232" s="28">
        <v>13</v>
      </c>
      <c r="J232" s="25"/>
      <c r="K232" s="25"/>
      <c r="L232" s="25"/>
      <c r="M232" s="31"/>
      <c r="N232" s="105"/>
      <c r="O232" s="28">
        <v>13</v>
      </c>
      <c r="P232" s="25"/>
      <c r="Q232" s="25"/>
      <c r="R232" s="25"/>
      <c r="S232" s="36"/>
      <c r="T232" s="1"/>
    </row>
    <row r="233" spans="1:20" x14ac:dyDescent="0.2">
      <c r="A233" s="109"/>
      <c r="B233" s="105"/>
      <c r="C233" s="29">
        <v>21</v>
      </c>
      <c r="D233" s="4">
        <v>48.62</v>
      </c>
      <c r="E233" s="4">
        <v>65.424000000000007</v>
      </c>
      <c r="F233" s="1">
        <v>0</v>
      </c>
      <c r="G233" s="33">
        <v>0.99990000000000001</v>
      </c>
      <c r="H233" s="105"/>
      <c r="I233" s="29">
        <v>21</v>
      </c>
      <c r="J233" s="4"/>
      <c r="K233" s="4"/>
      <c r="L233" s="1"/>
      <c r="M233" s="8"/>
      <c r="N233" s="105"/>
      <c r="O233" s="29">
        <v>21</v>
      </c>
      <c r="P233" s="4"/>
      <c r="Q233" s="4"/>
      <c r="R233" s="1"/>
      <c r="S233" s="33"/>
      <c r="T233" s="1"/>
    </row>
    <row r="234" spans="1:20" x14ac:dyDescent="0.2">
      <c r="A234" s="109"/>
      <c r="B234" s="105"/>
      <c r="C234" s="29">
        <v>47</v>
      </c>
      <c r="D234" s="4">
        <v>48.62</v>
      </c>
      <c r="E234" s="4">
        <v>65.424000000000007</v>
      </c>
      <c r="F234" s="1">
        <v>0</v>
      </c>
      <c r="G234" s="33">
        <v>0.99990000000000001</v>
      </c>
      <c r="H234" s="105"/>
      <c r="I234" s="29">
        <v>47</v>
      </c>
      <c r="J234" s="4"/>
      <c r="K234" s="4"/>
      <c r="L234" s="1"/>
      <c r="M234" s="8"/>
      <c r="N234" s="105"/>
      <c r="O234" s="29">
        <v>47</v>
      </c>
      <c r="P234" s="4"/>
      <c r="Q234" s="4"/>
      <c r="R234" s="1"/>
      <c r="S234" s="33"/>
      <c r="T234" s="1"/>
    </row>
    <row r="235" spans="1:20" x14ac:dyDescent="0.2">
      <c r="A235" s="109"/>
      <c r="B235" s="105"/>
      <c r="C235" s="29">
        <v>50</v>
      </c>
      <c r="D235" s="4">
        <v>48.62</v>
      </c>
      <c r="E235" s="4">
        <v>65.424000000000007</v>
      </c>
      <c r="F235" s="1">
        <v>0</v>
      </c>
      <c r="G235" s="33">
        <v>0.99990000000000001</v>
      </c>
      <c r="H235" s="105"/>
      <c r="I235" s="29">
        <v>50</v>
      </c>
      <c r="J235" s="4"/>
      <c r="K235" s="4"/>
      <c r="L235" s="1"/>
      <c r="M235" s="8"/>
      <c r="N235" s="105"/>
      <c r="O235" s="29">
        <v>50</v>
      </c>
      <c r="P235" s="4"/>
      <c r="Q235" s="4"/>
      <c r="R235" s="1"/>
      <c r="S235" s="33"/>
      <c r="T235" s="1"/>
    </row>
    <row r="236" spans="1:20" x14ac:dyDescent="0.2">
      <c r="A236" s="109"/>
      <c r="B236" s="105"/>
      <c r="C236" s="30">
        <v>91</v>
      </c>
      <c r="D236" s="27">
        <v>48.61</v>
      </c>
      <c r="E236" s="27">
        <v>65.42</v>
      </c>
      <c r="F236" s="26">
        <v>0</v>
      </c>
      <c r="G236" s="52">
        <v>1</v>
      </c>
      <c r="H236" s="105"/>
      <c r="I236" s="30">
        <v>91</v>
      </c>
      <c r="J236" s="27"/>
      <c r="K236" s="27"/>
      <c r="L236" s="26"/>
      <c r="M236" s="32"/>
      <c r="N236" s="105"/>
      <c r="O236" s="30">
        <v>91</v>
      </c>
      <c r="P236" s="27"/>
      <c r="Q236" s="27"/>
      <c r="R236" s="26"/>
      <c r="S236" s="52"/>
      <c r="T236" s="1"/>
    </row>
    <row r="237" spans="1:20" x14ac:dyDescent="0.2">
      <c r="A237" s="110"/>
      <c r="B237" s="106"/>
      <c r="C237" s="6" t="s">
        <v>8</v>
      </c>
      <c r="D237" s="7">
        <f>AVERAGE(D232:D236)</f>
        <v>48.617999999999995</v>
      </c>
      <c r="E237" s="7">
        <f>AVERAGE(E232:E236)</f>
        <v>65.423200000000008</v>
      </c>
      <c r="F237" s="35">
        <f>AVERAGE(F232:F236)</f>
        <v>0</v>
      </c>
      <c r="G237" s="34">
        <f>AVERAGE(G232:G236)</f>
        <v>0.99992000000000003</v>
      </c>
      <c r="H237" s="106"/>
      <c r="I237" s="6" t="s">
        <v>8</v>
      </c>
      <c r="J237" s="7" t="e">
        <f>AVERAGE(J232:J236)</f>
        <v>#DIV/0!</v>
      </c>
      <c r="K237" s="7" t="e">
        <f>AVERAGE(K232:K236)</f>
        <v>#DIV/0!</v>
      </c>
      <c r="L237" s="35" t="e">
        <f>AVERAGE(L232:L236)</f>
        <v>#DIV/0!</v>
      </c>
      <c r="M237" s="34" t="e">
        <f>AVERAGE(M232:M236)</f>
        <v>#DIV/0!</v>
      </c>
      <c r="N237" s="106"/>
      <c r="O237" s="6" t="s">
        <v>8</v>
      </c>
      <c r="P237" s="7" t="e">
        <f>AVERAGE(P232:P236)</f>
        <v>#DIV/0!</v>
      </c>
      <c r="Q237" s="7" t="e">
        <f>AVERAGE(Q232:Q236)</f>
        <v>#DIV/0!</v>
      </c>
      <c r="R237" s="35" t="e">
        <f>AVERAGE(R232:R236)</f>
        <v>#DIV/0!</v>
      </c>
      <c r="S237" s="34" t="e">
        <f>AVERAGE(S232:S236)</f>
        <v>#DIV/0!</v>
      </c>
      <c r="T237" s="1"/>
    </row>
    <row r="238" spans="1:20" x14ac:dyDescent="0.2">
      <c r="T238" s="1"/>
    </row>
    <row r="239" spans="1:20" x14ac:dyDescent="0.2">
      <c r="A239" s="38" t="s">
        <v>26</v>
      </c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T239" s="1"/>
    </row>
    <row r="240" spans="1:20" x14ac:dyDescent="0.2">
      <c r="T240" s="1"/>
    </row>
    <row r="241" spans="1:20" x14ac:dyDescent="0.2">
      <c r="A241" s="21"/>
      <c r="B241" s="107" t="s">
        <v>0</v>
      </c>
      <c r="C241" s="108"/>
      <c r="D241" s="108"/>
      <c r="E241" s="108"/>
      <c r="F241" s="108"/>
      <c r="G241" s="111"/>
      <c r="H241" s="107" t="s">
        <v>1</v>
      </c>
      <c r="I241" s="108"/>
      <c r="J241" s="108"/>
      <c r="K241" s="108"/>
      <c r="L241" s="108"/>
      <c r="M241" s="111"/>
      <c r="N241" s="107" t="s">
        <v>2</v>
      </c>
      <c r="O241" s="108"/>
      <c r="P241" s="108"/>
      <c r="Q241" s="108"/>
      <c r="R241" s="108"/>
      <c r="S241" s="111"/>
      <c r="T241" s="1"/>
    </row>
    <row r="242" spans="1:20" x14ac:dyDescent="0.2">
      <c r="A242" s="21"/>
      <c r="B242" s="47" t="s">
        <v>3</v>
      </c>
      <c r="C242" s="39" t="s">
        <v>23</v>
      </c>
      <c r="D242" s="25" t="s">
        <v>27</v>
      </c>
      <c r="E242" s="25" t="s">
        <v>7</v>
      </c>
      <c r="F242" s="25" t="s">
        <v>24</v>
      </c>
      <c r="G242" s="31" t="s">
        <v>25</v>
      </c>
      <c r="H242" s="47" t="s">
        <v>3</v>
      </c>
      <c r="I242" s="39" t="s">
        <v>23</v>
      </c>
      <c r="J242" s="25" t="s">
        <v>27</v>
      </c>
      <c r="K242" s="25" t="s">
        <v>7</v>
      </c>
      <c r="L242" s="25" t="s">
        <v>24</v>
      </c>
      <c r="M242" s="31" t="s">
        <v>25</v>
      </c>
      <c r="N242" s="47" t="s">
        <v>3</v>
      </c>
      <c r="O242" s="39" t="s">
        <v>23</v>
      </c>
      <c r="P242" s="25" t="s">
        <v>27</v>
      </c>
      <c r="Q242" s="25" t="s">
        <v>7</v>
      </c>
      <c r="R242" s="25" t="s">
        <v>24</v>
      </c>
      <c r="S242" s="31" t="s">
        <v>25</v>
      </c>
      <c r="T242" s="1"/>
    </row>
    <row r="243" spans="1:20" x14ac:dyDescent="0.2">
      <c r="A243" s="21"/>
      <c r="B243" s="100">
        <v>8</v>
      </c>
      <c r="C243" s="39">
        <v>1</v>
      </c>
      <c r="D243" s="40">
        <f>D167</f>
        <v>70.727999999999994</v>
      </c>
      <c r="E243" s="40">
        <f>E167</f>
        <v>72.131799999999998</v>
      </c>
      <c r="F243" s="41">
        <f>F167</f>
        <v>1073.5999999999999</v>
      </c>
      <c r="G243" s="48">
        <f>G167</f>
        <v>0.56410000000000005</v>
      </c>
      <c r="H243" s="100">
        <v>8</v>
      </c>
      <c r="I243" s="39">
        <v>1</v>
      </c>
      <c r="J243" s="40">
        <f>J167</f>
        <v>72.307999999999993</v>
      </c>
      <c r="K243" s="40">
        <f>K167</f>
        <v>71.704400000000007</v>
      </c>
      <c r="L243" s="41">
        <f>L167</f>
        <v>1349.2</v>
      </c>
      <c r="M243" s="48">
        <f>M167</f>
        <v>0.49309999999999998</v>
      </c>
      <c r="N243" s="100">
        <v>8</v>
      </c>
      <c r="O243" s="39">
        <v>1</v>
      </c>
      <c r="P243" s="40">
        <f>P167</f>
        <v>72.722000000000008</v>
      </c>
      <c r="Q243" s="40">
        <f>Q167</f>
        <v>72.802599999999984</v>
      </c>
      <c r="R243" s="41">
        <f>R167</f>
        <v>1209</v>
      </c>
      <c r="S243" s="48">
        <f>S167</f>
        <v>0.51707999999999998</v>
      </c>
      <c r="T243" s="1"/>
    </row>
    <row r="244" spans="1:20" x14ac:dyDescent="0.2">
      <c r="A244" s="21"/>
      <c r="B244" s="103"/>
      <c r="C244" s="21">
        <v>1.2</v>
      </c>
      <c r="D244" s="42">
        <f>D173</f>
        <v>70.585999999999999</v>
      </c>
      <c r="E244" s="42">
        <f>E173</f>
        <v>72.003</v>
      </c>
      <c r="F244" s="43">
        <f>F173</f>
        <v>1075.4000000000001</v>
      </c>
      <c r="G244" s="49">
        <f>G173</f>
        <v>0.56516</v>
      </c>
      <c r="H244" s="103"/>
      <c r="I244" s="21">
        <v>1.2</v>
      </c>
      <c r="J244" s="42" t="e">
        <f>J173</f>
        <v>#DIV/0!</v>
      </c>
      <c r="K244" s="42" t="e">
        <f>K173</f>
        <v>#DIV/0!</v>
      </c>
      <c r="L244" s="43" t="e">
        <f>L173</f>
        <v>#DIV/0!</v>
      </c>
      <c r="M244" s="49" t="e">
        <f>M173</f>
        <v>#DIV/0!</v>
      </c>
      <c r="N244" s="103"/>
      <c r="O244" s="21">
        <v>1.2</v>
      </c>
      <c r="P244" s="42" t="e">
        <f>P173</f>
        <v>#DIV/0!</v>
      </c>
      <c r="Q244" s="42" t="e">
        <f>Q173</f>
        <v>#DIV/0!</v>
      </c>
      <c r="R244" s="43" t="e">
        <f>R173</f>
        <v>#DIV/0!</v>
      </c>
      <c r="S244" s="49" t="e">
        <f>S173</f>
        <v>#DIV/0!</v>
      </c>
      <c r="T244" s="1"/>
    </row>
    <row r="245" spans="1:20" x14ac:dyDescent="0.2">
      <c r="A245" s="21"/>
      <c r="B245" s="103"/>
      <c r="C245" s="21">
        <v>1.4</v>
      </c>
      <c r="D245" s="42">
        <f>D179</f>
        <v>67.457999999999998</v>
      </c>
      <c r="E245" s="42">
        <f>E179</f>
        <v>73.144599999999997</v>
      </c>
      <c r="F245" s="43">
        <f>F179</f>
        <v>429.6</v>
      </c>
      <c r="G245" s="49">
        <f>G179</f>
        <v>0.72560000000000002</v>
      </c>
      <c r="H245" s="103"/>
      <c r="I245" s="21">
        <v>1.4</v>
      </c>
      <c r="J245" s="42" t="e">
        <f>J179</f>
        <v>#DIV/0!</v>
      </c>
      <c r="K245" s="42" t="e">
        <f>K179</f>
        <v>#DIV/0!</v>
      </c>
      <c r="L245" s="43" t="e">
        <f>L179</f>
        <v>#DIV/0!</v>
      </c>
      <c r="M245" s="49" t="e">
        <f>M179</f>
        <v>#DIV/0!</v>
      </c>
      <c r="N245" s="103"/>
      <c r="O245" s="21">
        <v>1.4</v>
      </c>
      <c r="P245" s="42" t="e">
        <f>P179</f>
        <v>#DIV/0!</v>
      </c>
      <c r="Q245" s="42" t="e">
        <f>Q179</f>
        <v>#DIV/0!</v>
      </c>
      <c r="R245" s="43" t="e">
        <f>R179</f>
        <v>#DIV/0!</v>
      </c>
      <c r="S245" s="49" t="e">
        <f>S179</f>
        <v>#DIV/0!</v>
      </c>
      <c r="T245" s="1"/>
    </row>
    <row r="246" spans="1:20" x14ac:dyDescent="0.2">
      <c r="A246" s="21"/>
      <c r="B246" s="103"/>
      <c r="C246" s="21">
        <v>1.6</v>
      </c>
      <c r="D246" s="42">
        <f>D185</f>
        <v>58.243999999999993</v>
      </c>
      <c r="E246" s="42">
        <f>E185</f>
        <v>69.641999999999996</v>
      </c>
      <c r="F246" s="43">
        <f>F185</f>
        <v>74.400000000000006</v>
      </c>
      <c r="G246" s="49">
        <f>G185</f>
        <v>0.88878000000000001</v>
      </c>
      <c r="H246" s="103"/>
      <c r="I246" s="21">
        <v>1.6</v>
      </c>
      <c r="J246" s="42" t="e">
        <f>J185</f>
        <v>#DIV/0!</v>
      </c>
      <c r="K246" s="42" t="e">
        <f>K185</f>
        <v>#DIV/0!</v>
      </c>
      <c r="L246" s="43" t="e">
        <f>L185</f>
        <v>#DIV/0!</v>
      </c>
      <c r="M246" s="49" t="e">
        <f>M185</f>
        <v>#DIV/0!</v>
      </c>
      <c r="N246" s="103"/>
      <c r="O246" s="21">
        <v>1.6</v>
      </c>
      <c r="P246" s="42" t="e">
        <f>P185</f>
        <v>#DIV/0!</v>
      </c>
      <c r="Q246" s="42" t="e">
        <f>Q185</f>
        <v>#DIV/0!</v>
      </c>
      <c r="R246" s="43" t="e">
        <f>R185</f>
        <v>#DIV/0!</v>
      </c>
      <c r="S246" s="49" t="e">
        <f>S185</f>
        <v>#DIV/0!</v>
      </c>
      <c r="T246" s="1"/>
    </row>
    <row r="247" spans="1:20" x14ac:dyDescent="0.2">
      <c r="A247" s="21"/>
      <c r="B247" s="103"/>
      <c r="C247" s="21">
        <v>1.8</v>
      </c>
      <c r="D247" s="42">
        <f>D191</f>
        <v>50.165999999999997</v>
      </c>
      <c r="E247" s="42">
        <f>E191</f>
        <v>66.109200000000001</v>
      </c>
      <c r="F247" s="43">
        <f>F191</f>
        <v>0.6</v>
      </c>
      <c r="G247" s="49">
        <f>G191</f>
        <v>0.98431999999999997</v>
      </c>
      <c r="H247" s="103"/>
      <c r="I247" s="21">
        <v>1.8</v>
      </c>
      <c r="J247" s="42" t="e">
        <f>J191</f>
        <v>#DIV/0!</v>
      </c>
      <c r="K247" s="42" t="e">
        <f>K191</f>
        <v>#DIV/0!</v>
      </c>
      <c r="L247" s="43" t="e">
        <f>L191</f>
        <v>#DIV/0!</v>
      </c>
      <c r="M247" s="49" t="e">
        <f>M191</f>
        <v>#DIV/0!</v>
      </c>
      <c r="N247" s="103"/>
      <c r="O247" s="21">
        <v>1.8</v>
      </c>
      <c r="P247" s="42" t="e">
        <f>P191</f>
        <v>#DIV/0!</v>
      </c>
      <c r="Q247" s="42" t="e">
        <f>Q191</f>
        <v>#DIV/0!</v>
      </c>
      <c r="R247" s="43" t="e">
        <f>R191</f>
        <v>#DIV/0!</v>
      </c>
      <c r="S247" s="49" t="e">
        <f>S191</f>
        <v>#DIV/0!</v>
      </c>
      <c r="T247" s="1"/>
    </row>
    <row r="248" spans="1:20" x14ac:dyDescent="0.2">
      <c r="A248" s="21"/>
      <c r="B248" s="101"/>
      <c r="C248" s="44">
        <v>2</v>
      </c>
      <c r="D248" s="45">
        <f>D197</f>
        <v>48.766000000000005</v>
      </c>
      <c r="E248" s="45">
        <f>E197</f>
        <v>65.488200000000006</v>
      </c>
      <c r="F248" s="46">
        <f>F197</f>
        <v>0</v>
      </c>
      <c r="G248" s="50">
        <f>G197</f>
        <v>0.99844000000000011</v>
      </c>
      <c r="H248" s="101"/>
      <c r="I248" s="44">
        <v>2</v>
      </c>
      <c r="J248" s="45" t="e">
        <f>J197</f>
        <v>#DIV/0!</v>
      </c>
      <c r="K248" s="45" t="e">
        <f>K197</f>
        <v>#DIV/0!</v>
      </c>
      <c r="L248" s="46" t="e">
        <f>L197</f>
        <v>#DIV/0!</v>
      </c>
      <c r="M248" s="50" t="e">
        <f>M197</f>
        <v>#DIV/0!</v>
      </c>
      <c r="N248" s="101"/>
      <c r="O248" s="44">
        <v>2</v>
      </c>
      <c r="P248" s="45" t="e">
        <f>P197</f>
        <v>#DIV/0!</v>
      </c>
      <c r="Q248" s="45" t="e">
        <f>Q197</f>
        <v>#DIV/0!</v>
      </c>
      <c r="R248" s="46" t="e">
        <f>R197</f>
        <v>#DIV/0!</v>
      </c>
      <c r="S248" s="50" t="e">
        <f>S197</f>
        <v>#DIV/0!</v>
      </c>
      <c r="T248" s="1"/>
    </row>
    <row r="249" spans="1:20" x14ac:dyDescent="0.2">
      <c r="A249" s="21"/>
      <c r="B249" s="100">
        <v>16</v>
      </c>
      <c r="C249" s="39">
        <v>1</v>
      </c>
      <c r="D249" s="40">
        <f>D207</f>
        <v>74.852000000000004</v>
      </c>
      <c r="E249" s="40">
        <f>E207</f>
        <v>74.7654</v>
      </c>
      <c r="F249" s="43">
        <f>F207</f>
        <v>1133.2</v>
      </c>
      <c r="G249" s="54">
        <f>G207</f>
        <v>0.51094000000000006</v>
      </c>
      <c r="H249" s="100">
        <v>16</v>
      </c>
      <c r="I249" s="39">
        <v>1</v>
      </c>
      <c r="J249" s="40">
        <f>J207</f>
        <v>75.542000000000002</v>
      </c>
      <c r="K249" s="40">
        <f>K207</f>
        <v>75.397000000000006</v>
      </c>
      <c r="L249" s="43">
        <f>L207</f>
        <v>1107.2</v>
      </c>
      <c r="M249" s="54">
        <f>M207</f>
        <v>0.50923999999999991</v>
      </c>
      <c r="N249" s="100">
        <v>16</v>
      </c>
      <c r="O249" s="39">
        <v>1</v>
      </c>
      <c r="P249" s="42">
        <f>P207</f>
        <v>76.396000000000001</v>
      </c>
      <c r="Q249" s="42">
        <f>Q207</f>
        <v>76.742800000000003</v>
      </c>
      <c r="R249" s="43">
        <f>R207</f>
        <v>961.6</v>
      </c>
      <c r="S249" s="49">
        <f>S207</f>
        <v>0.52981999999999996</v>
      </c>
      <c r="T249" s="1"/>
    </row>
    <row r="250" spans="1:20" x14ac:dyDescent="0.2">
      <c r="A250" s="21"/>
      <c r="B250" s="103"/>
      <c r="C250" s="21">
        <v>1.2</v>
      </c>
      <c r="D250" s="42">
        <f>D213</f>
        <v>74.876000000000005</v>
      </c>
      <c r="E250" s="42">
        <f>E213</f>
        <v>75.139999999999986</v>
      </c>
      <c r="F250" s="43">
        <f>F213</f>
        <v>1063</v>
      </c>
      <c r="G250" s="54">
        <f>G213</f>
        <v>0.52473999999999998</v>
      </c>
      <c r="H250" s="103"/>
      <c r="I250" s="21">
        <v>1.2</v>
      </c>
      <c r="J250" s="42" t="e">
        <f>J213</f>
        <v>#DIV/0!</v>
      </c>
      <c r="K250" s="42" t="e">
        <f>K213</f>
        <v>#DIV/0!</v>
      </c>
      <c r="L250" s="43" t="e">
        <f>L213</f>
        <v>#DIV/0!</v>
      </c>
      <c r="M250" s="54" t="e">
        <f>M213</f>
        <v>#DIV/0!</v>
      </c>
      <c r="N250" s="103"/>
      <c r="O250" s="21">
        <v>1.2</v>
      </c>
      <c r="P250" s="42" t="e">
        <f>P213</f>
        <v>#DIV/0!</v>
      </c>
      <c r="Q250" s="42" t="e">
        <f>Q213</f>
        <v>#DIV/0!</v>
      </c>
      <c r="R250" s="43" t="e">
        <f>R213</f>
        <v>#DIV/0!</v>
      </c>
      <c r="S250" s="49" t="e">
        <f>S213</f>
        <v>#DIV/0!</v>
      </c>
      <c r="T250" s="1"/>
    </row>
    <row r="251" spans="1:20" x14ac:dyDescent="0.2">
      <c r="A251" s="21"/>
      <c r="B251" s="103"/>
      <c r="C251" s="21">
        <v>1.4</v>
      </c>
      <c r="D251" s="42">
        <f>D219</f>
        <v>69.501999999999995</v>
      </c>
      <c r="E251" s="42">
        <f>E219</f>
        <v>75.052600000000012</v>
      </c>
      <c r="F251" s="43">
        <f>F219</f>
        <v>276.60000000000002</v>
      </c>
      <c r="G251" s="54">
        <f>G219</f>
        <v>0.73575999999999997</v>
      </c>
      <c r="H251" s="103"/>
      <c r="I251" s="21">
        <v>1.4</v>
      </c>
      <c r="J251" s="42" t="e">
        <f>J219</f>
        <v>#DIV/0!</v>
      </c>
      <c r="K251" s="42" t="e">
        <f>K219</f>
        <v>#DIV/0!</v>
      </c>
      <c r="L251" s="43" t="e">
        <f>L219</f>
        <v>#DIV/0!</v>
      </c>
      <c r="M251" s="54" t="e">
        <f>M219</f>
        <v>#DIV/0!</v>
      </c>
      <c r="N251" s="103"/>
      <c r="O251" s="21">
        <v>1.4</v>
      </c>
      <c r="P251" s="42" t="e">
        <f>P219</f>
        <v>#DIV/0!</v>
      </c>
      <c r="Q251" s="42" t="e">
        <f>Q219</f>
        <v>#DIV/0!</v>
      </c>
      <c r="R251" s="43" t="e">
        <f>R219</f>
        <v>#DIV/0!</v>
      </c>
      <c r="S251" s="49" t="e">
        <f>S219</f>
        <v>#DIV/0!</v>
      </c>
      <c r="T251" s="1"/>
    </row>
    <row r="252" spans="1:20" x14ac:dyDescent="0.2">
      <c r="A252" s="21"/>
      <c r="B252" s="103"/>
      <c r="C252" s="21">
        <v>1.6</v>
      </c>
      <c r="D252" s="42">
        <f>D225</f>
        <v>53.005999999999993</v>
      </c>
      <c r="E252" s="42">
        <f>E225</f>
        <v>67.402199999999993</v>
      </c>
      <c r="F252" s="43">
        <f>F225</f>
        <v>4.4000000000000004</v>
      </c>
      <c r="G252" s="54">
        <f>G225</f>
        <v>0.95516000000000001</v>
      </c>
      <c r="H252" s="103"/>
      <c r="I252" s="21">
        <v>1.6</v>
      </c>
      <c r="J252" s="42" t="e">
        <f>J225</f>
        <v>#DIV/0!</v>
      </c>
      <c r="K252" s="42" t="e">
        <f>K225</f>
        <v>#DIV/0!</v>
      </c>
      <c r="L252" s="43" t="e">
        <f>L225</f>
        <v>#DIV/0!</v>
      </c>
      <c r="M252" s="54" t="e">
        <f>M225</f>
        <v>#DIV/0!</v>
      </c>
      <c r="N252" s="103"/>
      <c r="O252" s="21">
        <v>1.6</v>
      </c>
      <c r="P252" s="42" t="e">
        <f>P225</f>
        <v>#DIV/0!</v>
      </c>
      <c r="Q252" s="42" t="e">
        <f>Q225</f>
        <v>#DIV/0!</v>
      </c>
      <c r="R252" s="43" t="e">
        <f>R225</f>
        <v>#DIV/0!</v>
      </c>
      <c r="S252" s="49" t="e">
        <f>S225</f>
        <v>#DIV/0!</v>
      </c>
      <c r="T252" s="1"/>
    </row>
    <row r="253" spans="1:20" x14ac:dyDescent="0.2">
      <c r="B253" s="103"/>
      <c r="C253" s="21">
        <v>1.8</v>
      </c>
      <c r="D253" s="42">
        <f>D231</f>
        <v>49.001999999999995</v>
      </c>
      <c r="E253" s="42">
        <f>E231</f>
        <v>65.592799999999997</v>
      </c>
      <c r="F253" s="43">
        <f>F231</f>
        <v>0</v>
      </c>
      <c r="G253" s="54">
        <f>G231</f>
        <v>0.99607999999999985</v>
      </c>
      <c r="H253" s="103"/>
      <c r="I253" s="21">
        <v>1.8</v>
      </c>
      <c r="J253" s="42" t="e">
        <f>J231</f>
        <v>#DIV/0!</v>
      </c>
      <c r="K253" s="42" t="e">
        <f>K231</f>
        <v>#DIV/0!</v>
      </c>
      <c r="L253" s="43" t="e">
        <f>L231</f>
        <v>#DIV/0!</v>
      </c>
      <c r="M253" s="54" t="e">
        <f>M231</f>
        <v>#DIV/0!</v>
      </c>
      <c r="N253" s="103"/>
      <c r="O253" s="21">
        <v>1.8</v>
      </c>
      <c r="P253" s="42" t="e">
        <f>P231</f>
        <v>#DIV/0!</v>
      </c>
      <c r="Q253" s="42" t="e">
        <f>Q231</f>
        <v>#DIV/0!</v>
      </c>
      <c r="R253" s="43" t="e">
        <f>R231</f>
        <v>#DIV/0!</v>
      </c>
      <c r="S253" s="49" t="e">
        <f>S231</f>
        <v>#DIV/0!</v>
      </c>
      <c r="T253" s="1"/>
    </row>
    <row r="254" spans="1:20" x14ac:dyDescent="0.2">
      <c r="B254" s="101"/>
      <c r="C254" s="44">
        <v>2</v>
      </c>
      <c r="D254" s="45">
        <f>D237</f>
        <v>48.617999999999995</v>
      </c>
      <c r="E254" s="45">
        <f>E237</f>
        <v>65.423200000000008</v>
      </c>
      <c r="F254" s="46">
        <f>F237</f>
        <v>0</v>
      </c>
      <c r="G254" s="55">
        <f>G237</f>
        <v>0.99992000000000003</v>
      </c>
      <c r="H254" s="101"/>
      <c r="I254" s="44">
        <v>2</v>
      </c>
      <c r="J254" s="45" t="e">
        <f>J237</f>
        <v>#DIV/0!</v>
      </c>
      <c r="K254" s="45" t="e">
        <f>K237</f>
        <v>#DIV/0!</v>
      </c>
      <c r="L254" s="46" t="e">
        <f>L237</f>
        <v>#DIV/0!</v>
      </c>
      <c r="M254" s="55" t="e">
        <f>M237</f>
        <v>#DIV/0!</v>
      </c>
      <c r="N254" s="101"/>
      <c r="O254" s="44">
        <v>2</v>
      </c>
      <c r="P254" s="45" t="e">
        <f>P237</f>
        <v>#DIV/0!</v>
      </c>
      <c r="Q254" s="45" t="e">
        <f>Q237</f>
        <v>#DIV/0!</v>
      </c>
      <c r="R254" s="46" t="e">
        <f>R237</f>
        <v>#DIV/0!</v>
      </c>
      <c r="S254" s="50" t="e">
        <f>S237</f>
        <v>#DIV/0!</v>
      </c>
      <c r="T254" s="1"/>
    </row>
    <row r="256" spans="1:20" x14ac:dyDescent="0.2">
      <c r="F256" s="1">
        <f>(F243-F245)/F243</f>
        <v>0.59985096870342769</v>
      </c>
      <c r="G256" s="1">
        <f>(F249-F251)/F249</f>
        <v>0.75591246028944581</v>
      </c>
    </row>
    <row r="257" spans="1:19" x14ac:dyDescent="0.2">
      <c r="A257" s="120" t="s">
        <v>23</v>
      </c>
      <c r="B257" s="107" t="s">
        <v>60</v>
      </c>
      <c r="C257" s="108"/>
      <c r="D257" s="108"/>
      <c r="E257" s="108"/>
      <c r="F257" s="108"/>
      <c r="G257" s="111"/>
      <c r="H257" s="107" t="s">
        <v>61</v>
      </c>
      <c r="I257" s="108"/>
      <c r="J257" s="108"/>
      <c r="K257" s="108"/>
      <c r="L257" s="108"/>
      <c r="M257" s="111"/>
      <c r="N257" s="107" t="s">
        <v>62</v>
      </c>
      <c r="O257" s="108"/>
      <c r="P257" s="108"/>
      <c r="Q257" s="108"/>
      <c r="R257" s="108"/>
      <c r="S257" s="111"/>
    </row>
    <row r="258" spans="1:19" x14ac:dyDescent="0.2">
      <c r="A258" s="121"/>
      <c r="B258" s="19" t="s">
        <v>3</v>
      </c>
      <c r="C258" s="1" t="s">
        <v>4</v>
      </c>
      <c r="D258" s="1" t="s">
        <v>6</v>
      </c>
      <c r="E258" s="2" t="s">
        <v>7</v>
      </c>
      <c r="F258" s="1" t="s">
        <v>24</v>
      </c>
      <c r="G258" s="8" t="s">
        <v>25</v>
      </c>
      <c r="H258" s="19" t="s">
        <v>3</v>
      </c>
      <c r="I258" s="1" t="s">
        <v>4</v>
      </c>
      <c r="J258" s="1" t="s">
        <v>6</v>
      </c>
      <c r="K258" s="2" t="s">
        <v>7</v>
      </c>
      <c r="L258" s="1" t="s">
        <v>24</v>
      </c>
      <c r="M258" s="8" t="s">
        <v>25</v>
      </c>
      <c r="N258" s="19" t="s">
        <v>3</v>
      </c>
      <c r="O258" s="1" t="s">
        <v>4</v>
      </c>
      <c r="P258" s="1" t="s">
        <v>6</v>
      </c>
      <c r="Q258" s="2" t="s">
        <v>7</v>
      </c>
      <c r="R258" s="1" t="s">
        <v>24</v>
      </c>
      <c r="S258" s="8" t="s">
        <v>25</v>
      </c>
    </row>
    <row r="259" spans="1:19" x14ac:dyDescent="0.2">
      <c r="A259" s="122">
        <v>1</v>
      </c>
      <c r="B259" s="104">
        <v>8</v>
      </c>
      <c r="C259" s="28">
        <v>13</v>
      </c>
      <c r="D259" s="51">
        <v>73.06</v>
      </c>
      <c r="E259" s="4">
        <v>71.528999999999996</v>
      </c>
      <c r="F259" s="25">
        <v>1293</v>
      </c>
      <c r="G259" s="36">
        <v>0.44612000000000002</v>
      </c>
      <c r="H259" s="104">
        <v>8</v>
      </c>
      <c r="I259" s="28">
        <v>13</v>
      </c>
      <c r="J259" s="25"/>
      <c r="K259" s="4"/>
      <c r="L259" s="25"/>
      <c r="M259" s="36"/>
      <c r="N259" s="104">
        <v>8</v>
      </c>
      <c r="O259" s="28">
        <v>13</v>
      </c>
      <c r="P259" s="25"/>
      <c r="Q259" s="4"/>
      <c r="R259" s="25"/>
      <c r="S259" s="36"/>
    </row>
    <row r="260" spans="1:19" x14ac:dyDescent="0.2">
      <c r="A260" s="123"/>
      <c r="B260" s="105"/>
      <c r="C260" s="29">
        <v>21</v>
      </c>
      <c r="D260" s="4">
        <v>70.47</v>
      </c>
      <c r="E260" s="4">
        <v>68.682000000000002</v>
      </c>
      <c r="F260" s="1">
        <v>1410</v>
      </c>
      <c r="G260" s="33">
        <v>0.44274999999999998</v>
      </c>
      <c r="H260" s="105"/>
      <c r="I260" s="29">
        <v>21</v>
      </c>
      <c r="J260" s="4"/>
      <c r="K260" s="4"/>
      <c r="L260" s="1"/>
      <c r="M260" s="33"/>
      <c r="N260" s="105"/>
      <c r="O260" s="29">
        <v>21</v>
      </c>
      <c r="P260" s="4"/>
      <c r="Q260" s="4"/>
      <c r="R260" s="1"/>
      <c r="S260" s="33"/>
    </row>
    <row r="261" spans="1:19" x14ac:dyDescent="0.2">
      <c r="A261" s="123"/>
      <c r="B261" s="105"/>
      <c r="C261" s="29">
        <v>47</v>
      </c>
      <c r="D261" s="4">
        <v>72.260000000000005</v>
      </c>
      <c r="E261" s="4">
        <v>70.613</v>
      </c>
      <c r="F261" s="1">
        <v>1334</v>
      </c>
      <c r="G261" s="33">
        <v>0.44388</v>
      </c>
      <c r="H261" s="105"/>
      <c r="I261" s="29">
        <v>47</v>
      </c>
      <c r="J261" s="4"/>
      <c r="K261" s="4"/>
      <c r="L261" s="1"/>
      <c r="M261" s="33"/>
      <c r="N261" s="105"/>
      <c r="O261" s="29">
        <v>47</v>
      </c>
      <c r="P261" s="4"/>
      <c r="Q261" s="4"/>
      <c r="R261" s="1"/>
      <c r="S261" s="33"/>
    </row>
    <row r="262" spans="1:19" x14ac:dyDescent="0.2">
      <c r="A262" s="123"/>
      <c r="B262" s="105"/>
      <c r="C262" s="29">
        <v>50</v>
      </c>
      <c r="D262" s="4">
        <v>72.58</v>
      </c>
      <c r="E262" s="4">
        <v>72.001000000000005</v>
      </c>
      <c r="F262" s="1">
        <v>1179</v>
      </c>
      <c r="G262" s="33">
        <v>0.47949999999999998</v>
      </c>
      <c r="H262" s="105"/>
      <c r="I262" s="29">
        <v>50</v>
      </c>
      <c r="J262" s="4"/>
      <c r="K262" s="4"/>
      <c r="L262" s="1"/>
      <c r="M262" s="33"/>
      <c r="N262" s="105"/>
      <c r="O262" s="29">
        <v>50</v>
      </c>
      <c r="P262" s="4"/>
      <c r="Q262" s="4"/>
      <c r="R262" s="1"/>
      <c r="S262" s="33"/>
    </row>
    <row r="263" spans="1:19" x14ac:dyDescent="0.2">
      <c r="A263" s="123"/>
      <c r="B263" s="105"/>
      <c r="C263" s="30">
        <v>91</v>
      </c>
      <c r="D263" s="27">
        <v>72.959999999999994</v>
      </c>
      <c r="E263" s="27">
        <v>71.543000000000006</v>
      </c>
      <c r="F263" s="26">
        <v>1281</v>
      </c>
      <c r="G263" s="52">
        <v>0.45012000000000002</v>
      </c>
      <c r="H263" s="105"/>
      <c r="I263" s="30">
        <v>91</v>
      </c>
      <c r="J263" s="27"/>
      <c r="K263" s="27"/>
      <c r="L263" s="26"/>
      <c r="M263" s="52"/>
      <c r="N263" s="105"/>
      <c r="O263" s="30">
        <v>91</v>
      </c>
      <c r="P263" s="27"/>
      <c r="Q263" s="27"/>
      <c r="R263" s="26"/>
      <c r="S263" s="52"/>
    </row>
    <row r="264" spans="1:19" x14ac:dyDescent="0.2">
      <c r="A264" s="121"/>
      <c r="B264" s="105"/>
      <c r="C264" s="6" t="s">
        <v>8</v>
      </c>
      <c r="D264" s="7">
        <f>AVERAGE(D259:D263)</f>
        <v>72.265999999999991</v>
      </c>
      <c r="E264" s="7">
        <f>AVERAGE(E259:E263)</f>
        <v>70.87360000000001</v>
      </c>
      <c r="F264" s="35">
        <f>AVERAGE(F259:F263)</f>
        <v>1299.4000000000001</v>
      </c>
      <c r="G264" s="34">
        <f>AVERAGE(G259:G263)</f>
        <v>0.45247400000000004</v>
      </c>
      <c r="H264" s="105"/>
      <c r="I264" s="6" t="s">
        <v>8</v>
      </c>
      <c r="J264" s="7" t="e">
        <f>AVERAGE(J259:J263)</f>
        <v>#DIV/0!</v>
      </c>
      <c r="K264" s="7" t="e">
        <f>AVERAGE(K259:K263)</f>
        <v>#DIV/0!</v>
      </c>
      <c r="L264" s="35" t="e">
        <f>AVERAGE(L259:L263)</f>
        <v>#DIV/0!</v>
      </c>
      <c r="M264" s="34" t="e">
        <f>AVERAGE(M259:M263)</f>
        <v>#DIV/0!</v>
      </c>
      <c r="N264" s="105"/>
      <c r="O264" s="6" t="s">
        <v>8</v>
      </c>
      <c r="P264" s="7" t="e">
        <f>AVERAGE(P259:P263)</f>
        <v>#DIV/0!</v>
      </c>
      <c r="Q264" s="7" t="e">
        <f>AVERAGE(Q259:Q263)</f>
        <v>#DIV/0!</v>
      </c>
      <c r="R264" s="35" t="e">
        <f>AVERAGE(R259:R263)</f>
        <v>#DIV/0!</v>
      </c>
      <c r="S264" s="34" t="e">
        <f>AVERAGE(S259:S263)</f>
        <v>#DIV/0!</v>
      </c>
    </row>
    <row r="265" spans="1:19" x14ac:dyDescent="0.2">
      <c r="A265" s="119">
        <v>1.2</v>
      </c>
      <c r="B265" s="105"/>
      <c r="C265" s="28">
        <v>13</v>
      </c>
      <c r="D265" s="25">
        <v>71.86</v>
      </c>
      <c r="E265" s="51">
        <v>73.465000000000003</v>
      </c>
      <c r="F265" s="25">
        <v>884</v>
      </c>
      <c r="G265" s="36">
        <v>0.56037000000000003</v>
      </c>
      <c r="H265" s="105"/>
      <c r="I265" s="28">
        <v>13</v>
      </c>
      <c r="J265" s="25"/>
      <c r="K265" s="25"/>
      <c r="L265" s="25"/>
      <c r="M265" s="31"/>
      <c r="N265" s="105"/>
      <c r="O265" s="28">
        <v>13</v>
      </c>
      <c r="P265" s="25"/>
      <c r="Q265" s="25"/>
      <c r="R265" s="25"/>
      <c r="S265" s="36"/>
    </row>
    <row r="266" spans="1:19" x14ac:dyDescent="0.2">
      <c r="A266" s="109"/>
      <c r="B266" s="105"/>
      <c r="C266" s="29">
        <v>21</v>
      </c>
      <c r="D266" s="4">
        <v>69.650000000000006</v>
      </c>
      <c r="E266" s="4">
        <v>70.433999999999997</v>
      </c>
      <c r="F266" s="1">
        <v>1108</v>
      </c>
      <c r="G266" s="33">
        <v>0.52649999999999997</v>
      </c>
      <c r="H266" s="105"/>
      <c r="I266" s="29">
        <v>21</v>
      </c>
      <c r="J266" s="4"/>
      <c r="K266" s="4"/>
      <c r="L266" s="1"/>
      <c r="M266" s="8"/>
      <c r="N266" s="105"/>
      <c r="O266" s="29">
        <v>21</v>
      </c>
      <c r="P266" s="4"/>
      <c r="Q266" s="4"/>
      <c r="R266" s="1"/>
      <c r="S266" s="33"/>
    </row>
    <row r="267" spans="1:19" x14ac:dyDescent="0.2">
      <c r="A267" s="109"/>
      <c r="B267" s="105"/>
      <c r="C267" s="29">
        <v>47</v>
      </c>
      <c r="D267" s="4">
        <v>70.94</v>
      </c>
      <c r="E267" s="4">
        <v>71.957999999999998</v>
      </c>
      <c r="F267" s="1">
        <v>1017</v>
      </c>
      <c r="G267" s="33">
        <v>0.53637999999999997</v>
      </c>
      <c r="H267" s="105"/>
      <c r="I267" s="29">
        <v>47</v>
      </c>
      <c r="J267" s="4"/>
      <c r="K267" s="4"/>
      <c r="L267" s="1"/>
      <c r="M267" s="8"/>
      <c r="N267" s="105"/>
      <c r="O267" s="29">
        <v>47</v>
      </c>
      <c r="P267" s="4"/>
      <c r="Q267" s="4"/>
      <c r="R267" s="1"/>
      <c r="S267" s="33"/>
    </row>
    <row r="268" spans="1:19" x14ac:dyDescent="0.2">
      <c r="A268" s="109"/>
      <c r="B268" s="105"/>
      <c r="C268" s="29">
        <v>50</v>
      </c>
      <c r="D268" s="4">
        <v>72.12</v>
      </c>
      <c r="E268" s="4">
        <v>72.25</v>
      </c>
      <c r="F268" s="1">
        <v>1097</v>
      </c>
      <c r="G268" s="33">
        <v>0.50449999999999995</v>
      </c>
      <c r="H268" s="105"/>
      <c r="I268" s="29">
        <v>50</v>
      </c>
      <c r="J268" s="4"/>
      <c r="K268" s="4"/>
      <c r="L268" s="1"/>
      <c r="M268" s="33"/>
      <c r="N268" s="105"/>
      <c r="O268" s="29">
        <v>50</v>
      </c>
      <c r="P268" s="4"/>
      <c r="Q268" s="4"/>
      <c r="R268" s="1"/>
      <c r="S268" s="33"/>
    </row>
    <row r="269" spans="1:19" x14ac:dyDescent="0.2">
      <c r="A269" s="109"/>
      <c r="B269" s="105"/>
      <c r="C269" s="30">
        <v>91</v>
      </c>
      <c r="D269" s="27">
        <v>72.709999999999994</v>
      </c>
      <c r="E269" s="27">
        <v>72.418999999999997</v>
      </c>
      <c r="F269" s="26">
        <v>1134</v>
      </c>
      <c r="G269" s="52">
        <v>0.48937999999999998</v>
      </c>
      <c r="H269" s="105"/>
      <c r="I269" s="30">
        <v>91</v>
      </c>
      <c r="J269" s="27"/>
      <c r="K269" s="27"/>
      <c r="L269" s="26"/>
      <c r="M269" s="32"/>
      <c r="N269" s="105"/>
      <c r="O269" s="30">
        <v>91</v>
      </c>
      <c r="P269" s="27"/>
      <c r="Q269" s="27"/>
      <c r="R269" s="26"/>
      <c r="S269" s="52"/>
    </row>
    <row r="270" spans="1:19" x14ac:dyDescent="0.2">
      <c r="A270" s="110"/>
      <c r="B270" s="105"/>
      <c r="C270" s="6" t="s">
        <v>8</v>
      </c>
      <c r="D270" s="7">
        <f>AVERAGE(D265:D269)</f>
        <v>71.455999999999989</v>
      </c>
      <c r="E270" s="7">
        <f>AVERAGE(E265:E269)</f>
        <v>72.105199999999996</v>
      </c>
      <c r="F270" s="35">
        <f>AVERAGE(F265:F269)</f>
        <v>1048</v>
      </c>
      <c r="G270" s="34">
        <f>AVERAGE(G265:G269)</f>
        <v>0.52342599999999995</v>
      </c>
      <c r="H270" s="105"/>
      <c r="I270" s="6" t="s">
        <v>8</v>
      </c>
      <c r="J270" s="7" t="e">
        <f>AVERAGE(J265:J269)</f>
        <v>#DIV/0!</v>
      </c>
      <c r="K270" s="7" t="e">
        <f>AVERAGE(K265:K269)</f>
        <v>#DIV/0!</v>
      </c>
      <c r="L270" s="35" t="e">
        <f>AVERAGE(L265:L269)</f>
        <v>#DIV/0!</v>
      </c>
      <c r="M270" s="34" t="e">
        <f>AVERAGE(M265:M269)</f>
        <v>#DIV/0!</v>
      </c>
      <c r="N270" s="105"/>
      <c r="O270" s="6" t="s">
        <v>8</v>
      </c>
      <c r="P270" s="7" t="e">
        <f>AVERAGE(P265:P269)</f>
        <v>#DIV/0!</v>
      </c>
      <c r="Q270" s="7" t="e">
        <f>AVERAGE(Q265:Q269)</f>
        <v>#DIV/0!</v>
      </c>
      <c r="R270" s="35" t="e">
        <f>AVERAGE(R265:R269)</f>
        <v>#DIV/0!</v>
      </c>
      <c r="S270" s="34" t="e">
        <f>AVERAGE(S265:S269)</f>
        <v>#DIV/0!</v>
      </c>
    </row>
    <row r="271" spans="1:19" x14ac:dyDescent="0.2">
      <c r="A271" s="119">
        <v>1.4</v>
      </c>
      <c r="B271" s="105"/>
      <c r="C271" s="28">
        <v>13</v>
      </c>
      <c r="D271" s="4">
        <v>63.8125</v>
      </c>
      <c r="E271" s="25">
        <v>71.39</v>
      </c>
      <c r="F271" s="25">
        <v>388</v>
      </c>
      <c r="G271" s="36">
        <v>0.76487000000000005</v>
      </c>
      <c r="H271" s="105"/>
      <c r="I271" s="28">
        <v>13</v>
      </c>
      <c r="J271" s="25"/>
      <c r="K271" s="25"/>
      <c r="L271" s="25"/>
      <c r="M271" s="36"/>
      <c r="N271" s="105"/>
      <c r="O271" s="28">
        <v>13</v>
      </c>
      <c r="P271" s="51"/>
      <c r="Q271" s="25"/>
      <c r="R271" s="25"/>
      <c r="S271" s="36"/>
    </row>
    <row r="272" spans="1:19" x14ac:dyDescent="0.2">
      <c r="A272" s="109"/>
      <c r="B272" s="105"/>
      <c r="C272" s="29">
        <v>21</v>
      </c>
      <c r="D272" s="4">
        <v>63.6</v>
      </c>
      <c r="E272" s="4">
        <v>70.102999999999994</v>
      </c>
      <c r="F272" s="1">
        <v>586</v>
      </c>
      <c r="G272" s="33">
        <v>0.71750000000000003</v>
      </c>
      <c r="H272" s="105"/>
      <c r="I272" s="29">
        <v>21</v>
      </c>
      <c r="J272" s="4"/>
      <c r="K272" s="4"/>
      <c r="L272" s="1"/>
      <c r="M272" s="8"/>
      <c r="N272" s="105"/>
      <c r="O272" s="29">
        <v>21</v>
      </c>
      <c r="P272" s="4"/>
      <c r="Q272" s="4"/>
      <c r="R272" s="1"/>
      <c r="S272" s="33"/>
    </row>
    <row r="273" spans="1:19" x14ac:dyDescent="0.2">
      <c r="A273" s="109"/>
      <c r="B273" s="105"/>
      <c r="C273" s="29">
        <v>47</v>
      </c>
      <c r="D273" s="4">
        <v>64.56</v>
      </c>
      <c r="E273" s="4">
        <v>71.126999999999995</v>
      </c>
      <c r="F273" s="1">
        <v>508</v>
      </c>
      <c r="G273" s="33">
        <v>0.72736999999999996</v>
      </c>
      <c r="H273" s="105"/>
      <c r="I273" s="29">
        <v>47</v>
      </c>
      <c r="J273" s="4"/>
      <c r="K273" s="4"/>
      <c r="L273" s="1"/>
      <c r="M273" s="8"/>
      <c r="N273" s="105"/>
      <c r="O273" s="29">
        <v>47</v>
      </c>
      <c r="P273" s="4"/>
      <c r="Q273" s="4"/>
      <c r="R273" s="1"/>
      <c r="S273" s="33"/>
    </row>
    <row r="274" spans="1:19" x14ac:dyDescent="0.2">
      <c r="A274" s="109"/>
      <c r="B274" s="105"/>
      <c r="C274" s="29">
        <v>50</v>
      </c>
      <c r="D274" s="4">
        <v>66</v>
      </c>
      <c r="E274" s="4">
        <v>72.262</v>
      </c>
      <c r="F274" s="1">
        <v>457</v>
      </c>
      <c r="G274" s="33">
        <v>0.72575000000000001</v>
      </c>
      <c r="H274" s="105"/>
      <c r="I274" s="29">
        <v>50</v>
      </c>
      <c r="J274" s="4"/>
      <c r="K274" s="4"/>
      <c r="L274" s="1"/>
      <c r="M274" s="8"/>
      <c r="N274" s="105"/>
      <c r="O274" s="29">
        <v>50</v>
      </c>
      <c r="P274" s="4"/>
      <c r="Q274" s="4"/>
      <c r="R274" s="1"/>
      <c r="S274" s="33"/>
    </row>
    <row r="275" spans="1:19" x14ac:dyDescent="0.2">
      <c r="A275" s="109"/>
      <c r="B275" s="105"/>
      <c r="C275" s="30">
        <v>91</v>
      </c>
      <c r="D275" s="27">
        <v>67.760000000000005</v>
      </c>
      <c r="E275" s="27">
        <v>72.712000000000003</v>
      </c>
      <c r="F275" s="26">
        <v>564</v>
      </c>
      <c r="G275" s="52">
        <v>0.68137000000000003</v>
      </c>
      <c r="H275" s="105"/>
      <c r="I275" s="30">
        <v>91</v>
      </c>
      <c r="J275" s="27"/>
      <c r="K275" s="27"/>
      <c r="L275" s="26"/>
      <c r="M275" s="32"/>
      <c r="N275" s="105"/>
      <c r="O275" s="30">
        <v>91</v>
      </c>
      <c r="P275" s="27"/>
      <c r="Q275" s="27"/>
      <c r="R275" s="26"/>
      <c r="S275" s="52"/>
    </row>
    <row r="276" spans="1:19" x14ac:dyDescent="0.2">
      <c r="A276" s="110"/>
      <c r="B276" s="105"/>
      <c r="C276" s="6" t="s">
        <v>8</v>
      </c>
      <c r="D276" s="7">
        <f>AVERAGE(D271:D275)</f>
        <v>65.146499999999989</v>
      </c>
      <c r="E276" s="7">
        <f>AVERAGE(E271:E275)</f>
        <v>71.518799999999999</v>
      </c>
      <c r="F276" s="35">
        <f>AVERAGE(F271:F275)</f>
        <v>500.6</v>
      </c>
      <c r="G276" s="34">
        <f>AVERAGE(G271:G275)</f>
        <v>0.72337200000000001</v>
      </c>
      <c r="H276" s="105"/>
      <c r="I276" s="6" t="s">
        <v>8</v>
      </c>
      <c r="J276" s="7" t="e">
        <f>AVERAGE(J271:J275)</f>
        <v>#DIV/0!</v>
      </c>
      <c r="K276" s="7" t="e">
        <f>AVERAGE(K271:K275)</f>
        <v>#DIV/0!</v>
      </c>
      <c r="L276" s="35" t="e">
        <f>AVERAGE(L271:L275)</f>
        <v>#DIV/0!</v>
      </c>
      <c r="M276" s="34" t="e">
        <f>AVERAGE(M271:M275)</f>
        <v>#DIV/0!</v>
      </c>
      <c r="N276" s="105"/>
      <c r="O276" s="6" t="s">
        <v>8</v>
      </c>
      <c r="P276" s="7" t="e">
        <f>AVERAGE(P271:P275)</f>
        <v>#DIV/0!</v>
      </c>
      <c r="Q276" s="7" t="e">
        <f>AVERAGE(Q271:Q275)</f>
        <v>#DIV/0!</v>
      </c>
      <c r="R276" s="35" t="e">
        <f>AVERAGE(R271:R275)</f>
        <v>#DIV/0!</v>
      </c>
      <c r="S276" s="34" t="e">
        <f>AVERAGE(S271:S275)</f>
        <v>#DIV/0!</v>
      </c>
    </row>
    <row r="277" spans="1:19" x14ac:dyDescent="0.2">
      <c r="A277" s="119">
        <v>1.6</v>
      </c>
      <c r="B277" s="105"/>
      <c r="C277" s="28">
        <v>13</v>
      </c>
      <c r="D277" s="25">
        <v>56.01</v>
      </c>
      <c r="E277" s="51">
        <v>68.617000000000004</v>
      </c>
      <c r="F277" s="37">
        <v>153</v>
      </c>
      <c r="G277" s="36">
        <v>0.90163000000000004</v>
      </c>
      <c r="H277" s="105"/>
      <c r="I277" s="28">
        <v>13</v>
      </c>
      <c r="J277" s="25"/>
      <c r="K277" s="25"/>
      <c r="L277" s="25"/>
      <c r="M277" s="31"/>
      <c r="N277" s="105"/>
      <c r="O277" s="28">
        <v>13</v>
      </c>
      <c r="P277" s="25"/>
      <c r="Q277" s="51"/>
      <c r="R277" s="25"/>
      <c r="S277" s="36"/>
    </row>
    <row r="278" spans="1:19" x14ac:dyDescent="0.2">
      <c r="A278" s="109"/>
      <c r="B278" s="105"/>
      <c r="C278" s="29">
        <v>21</v>
      </c>
      <c r="D278" s="4">
        <v>54.39</v>
      </c>
      <c r="E278" s="4">
        <v>67.733999999999995</v>
      </c>
      <c r="F278" s="1">
        <v>170</v>
      </c>
      <c r="G278" s="33">
        <v>0.91363000000000005</v>
      </c>
      <c r="H278" s="105"/>
      <c r="I278" s="29">
        <v>21</v>
      </c>
      <c r="J278" s="4"/>
      <c r="K278" s="4"/>
      <c r="L278" s="1"/>
      <c r="M278" s="8"/>
      <c r="N278" s="105"/>
      <c r="O278" s="29">
        <v>21</v>
      </c>
      <c r="P278" s="4"/>
      <c r="Q278" s="4"/>
      <c r="R278" s="1"/>
      <c r="S278" s="33"/>
    </row>
    <row r="279" spans="1:19" x14ac:dyDescent="0.2">
      <c r="A279" s="109"/>
      <c r="B279" s="105"/>
      <c r="C279" s="29">
        <v>47</v>
      </c>
      <c r="D279" s="4">
        <v>56.56</v>
      </c>
      <c r="E279" s="4">
        <v>68.697000000000003</v>
      </c>
      <c r="F279" s="1">
        <v>187</v>
      </c>
      <c r="G279" s="33">
        <v>0.88761999999999996</v>
      </c>
      <c r="H279" s="105"/>
      <c r="I279" s="29">
        <v>47</v>
      </c>
      <c r="J279" s="4"/>
      <c r="K279" s="4"/>
      <c r="L279" s="1"/>
      <c r="M279" s="8"/>
      <c r="N279" s="105"/>
      <c r="O279" s="29">
        <v>47</v>
      </c>
      <c r="P279" s="4"/>
      <c r="Q279" s="4"/>
      <c r="R279" s="1"/>
      <c r="S279" s="33"/>
    </row>
    <row r="280" spans="1:19" x14ac:dyDescent="0.2">
      <c r="A280" s="109"/>
      <c r="B280" s="105"/>
      <c r="C280" s="29">
        <v>50</v>
      </c>
      <c r="D280" s="4">
        <v>56.96</v>
      </c>
      <c r="E280" s="4">
        <v>69.152000000000001</v>
      </c>
      <c r="F280" s="1">
        <v>141</v>
      </c>
      <c r="G280" s="33">
        <v>0.89512000000000003</v>
      </c>
      <c r="H280" s="105"/>
      <c r="I280" s="29">
        <v>50</v>
      </c>
      <c r="J280" s="4"/>
      <c r="K280" s="4"/>
      <c r="L280" s="1"/>
      <c r="M280" s="8"/>
      <c r="N280" s="105"/>
      <c r="O280" s="29">
        <v>50</v>
      </c>
      <c r="P280" s="4"/>
      <c r="Q280" s="4"/>
      <c r="R280" s="1"/>
      <c r="S280" s="33"/>
    </row>
    <row r="281" spans="1:19" x14ac:dyDescent="0.2">
      <c r="A281" s="109"/>
      <c r="B281" s="105"/>
      <c r="C281" s="30">
        <v>91</v>
      </c>
      <c r="D281" s="27">
        <v>57.46</v>
      </c>
      <c r="E281" s="27">
        <v>69.373000000000005</v>
      </c>
      <c r="F281" s="26">
        <v>146</v>
      </c>
      <c r="G281" s="52">
        <v>0.88887000000000005</v>
      </c>
      <c r="H281" s="105"/>
      <c r="I281" s="30">
        <v>91</v>
      </c>
      <c r="J281" s="27"/>
      <c r="K281" s="27"/>
      <c r="L281" s="26"/>
      <c r="M281" s="32"/>
      <c r="N281" s="105"/>
      <c r="O281" s="30">
        <v>91</v>
      </c>
      <c r="P281" s="27"/>
      <c r="Q281" s="27"/>
      <c r="R281" s="26"/>
      <c r="S281" s="52"/>
    </row>
    <row r="282" spans="1:19" x14ac:dyDescent="0.2">
      <c r="A282" s="110"/>
      <c r="B282" s="105"/>
      <c r="C282" s="6" t="s">
        <v>8</v>
      </c>
      <c r="D282" s="7">
        <f>AVERAGE(D277:D281)</f>
        <v>56.275999999999996</v>
      </c>
      <c r="E282" s="7">
        <f>AVERAGE(E277:E281)</f>
        <v>68.71459999999999</v>
      </c>
      <c r="F282" s="35">
        <f>AVERAGE(F277:F281)</f>
        <v>159.4</v>
      </c>
      <c r="G282" s="34">
        <f>AVERAGE(G277:G281)</f>
        <v>0.89737399999999989</v>
      </c>
      <c r="H282" s="105"/>
      <c r="I282" s="6" t="s">
        <v>8</v>
      </c>
      <c r="J282" s="7" t="e">
        <f>AVERAGE(J277:J281)</f>
        <v>#DIV/0!</v>
      </c>
      <c r="K282" s="7" t="e">
        <f>AVERAGE(K277:K281)</f>
        <v>#DIV/0!</v>
      </c>
      <c r="L282" s="35" t="e">
        <f>AVERAGE(L277:L281)</f>
        <v>#DIV/0!</v>
      </c>
      <c r="M282" s="34" t="e">
        <f>AVERAGE(M277:M281)</f>
        <v>#DIV/0!</v>
      </c>
      <c r="N282" s="105"/>
      <c r="O282" s="6" t="s">
        <v>8</v>
      </c>
      <c r="P282" s="7" t="e">
        <f>AVERAGE(P277:P281)</f>
        <v>#DIV/0!</v>
      </c>
      <c r="Q282" s="7" t="e">
        <f>AVERAGE(Q277:Q281)</f>
        <v>#DIV/0!</v>
      </c>
      <c r="R282" s="35" t="e">
        <f>AVERAGE(R277:R281)</f>
        <v>#DIV/0!</v>
      </c>
      <c r="S282" s="34" t="e">
        <f>AVERAGE(S277:S281)</f>
        <v>#DIV/0!</v>
      </c>
    </row>
    <row r="283" spans="1:19" x14ac:dyDescent="0.2">
      <c r="A283" s="119">
        <v>1.8</v>
      </c>
      <c r="B283" s="105"/>
      <c r="C283" s="28">
        <v>13</v>
      </c>
      <c r="D283" s="25">
        <v>50.94</v>
      </c>
      <c r="E283" s="25">
        <v>66.97</v>
      </c>
      <c r="F283" s="25">
        <v>21</v>
      </c>
      <c r="G283" s="36">
        <v>0.98538000000000003</v>
      </c>
      <c r="H283" s="105"/>
      <c r="I283" s="28">
        <v>13</v>
      </c>
      <c r="J283" s="25"/>
      <c r="K283" s="25"/>
      <c r="L283" s="25"/>
      <c r="M283" s="31"/>
      <c r="N283" s="105"/>
      <c r="O283" s="28">
        <v>13</v>
      </c>
      <c r="P283" s="25"/>
      <c r="Q283" s="25"/>
      <c r="R283" s="25"/>
      <c r="S283" s="36"/>
    </row>
    <row r="284" spans="1:19" x14ac:dyDescent="0.2">
      <c r="A284" s="109"/>
      <c r="B284" s="105"/>
      <c r="C284" s="29">
        <v>21</v>
      </c>
      <c r="D284" s="4">
        <v>50.65</v>
      </c>
      <c r="E284" s="4">
        <v>66.762</v>
      </c>
      <c r="F284" s="1">
        <v>35</v>
      </c>
      <c r="G284" s="33">
        <v>0.98475000000000001</v>
      </c>
      <c r="H284" s="105"/>
      <c r="I284" s="29">
        <v>21</v>
      </c>
      <c r="J284" s="4"/>
      <c r="K284" s="4"/>
      <c r="L284" s="1"/>
      <c r="M284" s="8"/>
      <c r="N284" s="105"/>
      <c r="O284" s="29">
        <v>21</v>
      </c>
      <c r="P284" s="4"/>
      <c r="Q284" s="4"/>
      <c r="R284" s="1"/>
      <c r="S284" s="33"/>
    </row>
    <row r="285" spans="1:19" x14ac:dyDescent="0.2">
      <c r="A285" s="109"/>
      <c r="B285" s="105"/>
      <c r="C285" s="29">
        <v>47</v>
      </c>
      <c r="D285" s="4">
        <v>50.71</v>
      </c>
      <c r="E285" s="4">
        <v>66.817999999999998</v>
      </c>
      <c r="F285" s="1">
        <v>30</v>
      </c>
      <c r="G285" s="33">
        <v>0.98538000000000003</v>
      </c>
      <c r="H285" s="105"/>
      <c r="I285" s="29">
        <v>47</v>
      </c>
      <c r="J285" s="4"/>
      <c r="K285" s="4"/>
      <c r="L285" s="1"/>
      <c r="M285" s="8"/>
      <c r="N285" s="105"/>
      <c r="O285" s="29">
        <v>47</v>
      </c>
      <c r="P285" s="4"/>
      <c r="Q285" s="4"/>
      <c r="R285" s="1"/>
      <c r="S285" s="33"/>
    </row>
    <row r="286" spans="1:19" x14ac:dyDescent="0.2">
      <c r="A286" s="109"/>
      <c r="B286" s="105"/>
      <c r="C286" s="29">
        <v>50</v>
      </c>
      <c r="D286" s="4">
        <v>50.89</v>
      </c>
      <c r="E286" s="4">
        <v>67.013999999999996</v>
      </c>
      <c r="F286" s="1">
        <v>9</v>
      </c>
      <c r="G286" s="33">
        <v>0.98887000000000003</v>
      </c>
      <c r="H286" s="105"/>
      <c r="I286" s="29">
        <v>50</v>
      </c>
      <c r="J286" s="4"/>
      <c r="K286" s="4"/>
      <c r="L286" s="1"/>
      <c r="M286" s="8"/>
      <c r="N286" s="105"/>
      <c r="O286" s="29">
        <v>50</v>
      </c>
      <c r="P286" s="4"/>
      <c r="Q286" s="4"/>
      <c r="R286" s="1"/>
      <c r="S286" s="33"/>
    </row>
    <row r="287" spans="1:19" x14ac:dyDescent="0.2">
      <c r="A287" s="109"/>
      <c r="B287" s="105"/>
      <c r="C287" s="30">
        <v>91</v>
      </c>
      <c r="D287" s="27">
        <v>50.98</v>
      </c>
      <c r="E287" s="27">
        <v>67.052999999999997</v>
      </c>
      <c r="F287" s="26">
        <v>9</v>
      </c>
      <c r="G287" s="52">
        <v>0.98799999999999999</v>
      </c>
      <c r="H287" s="105"/>
      <c r="I287" s="30">
        <v>91</v>
      </c>
      <c r="J287" s="27"/>
      <c r="K287" s="27"/>
      <c r="L287" s="26"/>
      <c r="M287" s="32"/>
      <c r="N287" s="105"/>
      <c r="O287" s="30">
        <v>91</v>
      </c>
      <c r="P287" s="27"/>
      <c r="Q287" s="27"/>
      <c r="R287" s="26"/>
      <c r="S287" s="52"/>
    </row>
    <row r="288" spans="1:19" x14ac:dyDescent="0.2">
      <c r="A288" s="110"/>
      <c r="B288" s="105"/>
      <c r="C288" s="6" t="s">
        <v>8</v>
      </c>
      <c r="D288" s="7">
        <f>AVERAGE(D283:D287)</f>
        <v>50.833999999999996</v>
      </c>
      <c r="E288" s="7">
        <f>AVERAGE(E283:E287)</f>
        <v>66.923400000000001</v>
      </c>
      <c r="F288" s="35">
        <f>AVERAGE(F283:F287)</f>
        <v>20.8</v>
      </c>
      <c r="G288" s="34">
        <f>AVERAGE(G283:G287)</f>
        <v>0.98647600000000002</v>
      </c>
      <c r="H288" s="105"/>
      <c r="I288" s="6" t="s">
        <v>8</v>
      </c>
      <c r="J288" s="7" t="e">
        <f>AVERAGE(J283:J287)</f>
        <v>#DIV/0!</v>
      </c>
      <c r="K288" s="7" t="e">
        <f>AVERAGE(K283:K287)</f>
        <v>#DIV/0!</v>
      </c>
      <c r="L288" s="35" t="e">
        <f>AVERAGE(L283:L287)</f>
        <v>#DIV/0!</v>
      </c>
      <c r="M288" s="34" t="e">
        <f>AVERAGE(M283:M287)</f>
        <v>#DIV/0!</v>
      </c>
      <c r="N288" s="105"/>
      <c r="O288" s="6" t="s">
        <v>8</v>
      </c>
      <c r="P288" s="7" t="e">
        <f>AVERAGE(P283:P287)</f>
        <v>#DIV/0!</v>
      </c>
      <c r="Q288" s="7" t="e">
        <f>AVERAGE(Q283:Q287)</f>
        <v>#DIV/0!</v>
      </c>
      <c r="R288" s="35" t="e">
        <f>AVERAGE(R283:R287)</f>
        <v>#DIV/0!</v>
      </c>
      <c r="S288" s="34" t="e">
        <f>AVERAGE(S283:S287)</f>
        <v>#DIV/0!</v>
      </c>
    </row>
    <row r="289" spans="1:19" x14ac:dyDescent="0.2">
      <c r="A289" s="119">
        <v>2</v>
      </c>
      <c r="B289" s="105"/>
      <c r="C289" s="28">
        <v>13</v>
      </c>
      <c r="D289" s="25">
        <v>50.11</v>
      </c>
      <c r="E289" s="51">
        <v>66.706000000000003</v>
      </c>
      <c r="F289" s="25">
        <v>2</v>
      </c>
      <c r="G289" s="36">
        <v>0.99838000000000005</v>
      </c>
      <c r="H289" s="105"/>
      <c r="I289" s="28">
        <v>13</v>
      </c>
      <c r="J289" s="25"/>
      <c r="K289" s="25"/>
      <c r="L289" s="25"/>
      <c r="M289" s="36"/>
      <c r="N289" s="105"/>
      <c r="O289" s="28">
        <v>13</v>
      </c>
      <c r="P289" s="25"/>
      <c r="Q289" s="25"/>
      <c r="R289" s="25"/>
      <c r="S289" s="36"/>
    </row>
    <row r="290" spans="1:19" x14ac:dyDescent="0.2">
      <c r="A290" s="109"/>
      <c r="B290" s="105"/>
      <c r="C290" s="29">
        <v>21</v>
      </c>
      <c r="D290" s="4">
        <v>50.11</v>
      </c>
      <c r="E290" s="4">
        <v>66.706000000000003</v>
      </c>
      <c r="F290" s="1">
        <v>2</v>
      </c>
      <c r="G290" s="33">
        <v>0.99838000000000005</v>
      </c>
      <c r="H290" s="105"/>
      <c r="I290" s="29">
        <v>21</v>
      </c>
      <c r="J290" s="4"/>
      <c r="K290" s="4"/>
      <c r="L290" s="1"/>
      <c r="M290" s="8"/>
      <c r="N290" s="105"/>
      <c r="O290" s="29">
        <v>21</v>
      </c>
      <c r="P290" s="4"/>
      <c r="Q290" s="4"/>
      <c r="R290" s="1"/>
      <c r="S290" s="33"/>
    </row>
    <row r="291" spans="1:19" x14ac:dyDescent="0.2">
      <c r="A291" s="109"/>
      <c r="B291" s="105"/>
      <c r="C291" s="29">
        <v>47</v>
      </c>
      <c r="D291" s="4">
        <v>50.11</v>
      </c>
      <c r="E291" s="4">
        <v>66.706000000000003</v>
      </c>
      <c r="F291" s="1">
        <v>2</v>
      </c>
      <c r="G291" s="33">
        <v>0.99838000000000005</v>
      </c>
      <c r="H291" s="105"/>
      <c r="I291" s="29">
        <v>47</v>
      </c>
      <c r="J291" s="4"/>
      <c r="K291" s="4"/>
      <c r="L291" s="1"/>
      <c r="M291" s="8"/>
      <c r="N291" s="105"/>
      <c r="O291" s="29">
        <v>47</v>
      </c>
      <c r="P291" s="4"/>
      <c r="Q291" s="4"/>
      <c r="R291" s="1"/>
      <c r="S291" s="33"/>
    </row>
    <row r="292" spans="1:19" x14ac:dyDescent="0.2">
      <c r="A292" s="109"/>
      <c r="B292" s="105"/>
      <c r="C292" s="29">
        <v>50</v>
      </c>
      <c r="D292" s="4">
        <v>50.02</v>
      </c>
      <c r="E292" s="4">
        <v>66.677999999999997</v>
      </c>
      <c r="F292" s="1">
        <v>0</v>
      </c>
      <c r="G292" s="33">
        <v>0.99975000000000003</v>
      </c>
      <c r="H292" s="105"/>
      <c r="I292" s="29">
        <v>50</v>
      </c>
      <c r="J292" s="4"/>
      <c r="K292" s="4"/>
      <c r="L292" s="1"/>
      <c r="M292" s="8"/>
      <c r="N292" s="105"/>
      <c r="O292" s="29">
        <v>50</v>
      </c>
      <c r="P292" s="4"/>
      <c r="Q292" s="4"/>
      <c r="R292" s="1"/>
      <c r="S292" s="33"/>
    </row>
    <row r="293" spans="1:19" x14ac:dyDescent="0.2">
      <c r="A293" s="109"/>
      <c r="B293" s="105"/>
      <c r="C293" s="30">
        <v>91</v>
      </c>
      <c r="D293" s="27">
        <v>50.01</v>
      </c>
      <c r="E293" s="27">
        <v>66.671999999999997</v>
      </c>
      <c r="F293" s="26">
        <v>0</v>
      </c>
      <c r="G293" s="52">
        <v>0.99987000000000004</v>
      </c>
      <c r="H293" s="105"/>
      <c r="I293" s="30">
        <v>91</v>
      </c>
      <c r="J293" s="27"/>
      <c r="K293" s="27"/>
      <c r="L293" s="26"/>
      <c r="M293" s="32"/>
      <c r="N293" s="105"/>
      <c r="O293" s="30">
        <v>91</v>
      </c>
      <c r="P293" s="27"/>
      <c r="Q293" s="27"/>
      <c r="R293" s="26"/>
      <c r="S293" s="52"/>
    </row>
    <row r="294" spans="1:19" x14ac:dyDescent="0.2">
      <c r="A294" s="110"/>
      <c r="B294" s="106"/>
      <c r="C294" s="6" t="s">
        <v>8</v>
      </c>
      <c r="D294" s="7">
        <f>AVERAGE(D289:D293)</f>
        <v>50.071999999999996</v>
      </c>
      <c r="E294" s="7">
        <f>AVERAGE(E289:E293)</f>
        <v>66.693599999999989</v>
      </c>
      <c r="F294" s="35">
        <f>AVERAGE(F289:F293)</f>
        <v>1.2</v>
      </c>
      <c r="G294" s="34">
        <f>AVERAGE(G289:G293)</f>
        <v>0.99895200000000006</v>
      </c>
      <c r="H294" s="106"/>
      <c r="I294" s="6" t="s">
        <v>8</v>
      </c>
      <c r="J294" s="7" t="e">
        <f>AVERAGE(J289:J293)</f>
        <v>#DIV/0!</v>
      </c>
      <c r="K294" s="7" t="e">
        <f>AVERAGE(K289:K293)</f>
        <v>#DIV/0!</v>
      </c>
      <c r="L294" s="35" t="e">
        <f>AVERAGE(L289:L293)</f>
        <v>#DIV/0!</v>
      </c>
      <c r="M294" s="34" t="e">
        <f>AVERAGE(M289:M293)</f>
        <v>#DIV/0!</v>
      </c>
      <c r="N294" s="106"/>
      <c r="O294" s="6" t="s">
        <v>8</v>
      </c>
      <c r="P294" s="7" t="e">
        <f>AVERAGE(P289:P293)</f>
        <v>#DIV/0!</v>
      </c>
      <c r="Q294" s="7" t="e">
        <f>AVERAGE(Q289:Q293)</f>
        <v>#DIV/0!</v>
      </c>
      <c r="R294" s="35" t="e">
        <f>AVERAGE(R289:R293)</f>
        <v>#DIV/0!</v>
      </c>
      <c r="S294" s="11" t="e">
        <f>AVERAGE(S289:S293)</f>
        <v>#DIV/0!</v>
      </c>
    </row>
    <row r="295" spans="1:19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">
      <c r="A297" s="120" t="s">
        <v>23</v>
      </c>
      <c r="B297" s="107" t="s">
        <v>60</v>
      </c>
      <c r="C297" s="108"/>
      <c r="D297" s="108"/>
      <c r="E297" s="108"/>
      <c r="F297" s="108"/>
      <c r="G297" s="111"/>
      <c r="H297" s="107" t="s">
        <v>61</v>
      </c>
      <c r="I297" s="108"/>
      <c r="J297" s="108"/>
      <c r="K297" s="108"/>
      <c r="L297" s="108"/>
      <c r="M297" s="111"/>
      <c r="N297" s="107" t="s">
        <v>62</v>
      </c>
      <c r="O297" s="108"/>
      <c r="P297" s="108"/>
      <c r="Q297" s="108"/>
      <c r="R297" s="108"/>
      <c r="S297" s="111"/>
    </row>
    <row r="298" spans="1:19" x14ac:dyDescent="0.2">
      <c r="A298" s="121"/>
      <c r="B298" s="19" t="s">
        <v>3</v>
      </c>
      <c r="C298" s="1" t="s">
        <v>4</v>
      </c>
      <c r="D298" s="1" t="s">
        <v>6</v>
      </c>
      <c r="E298" s="2" t="s">
        <v>7</v>
      </c>
      <c r="F298" s="1" t="s">
        <v>24</v>
      </c>
      <c r="G298" s="8" t="s">
        <v>25</v>
      </c>
      <c r="H298" s="19" t="s">
        <v>3</v>
      </c>
      <c r="I298" s="1" t="s">
        <v>4</v>
      </c>
      <c r="J298" s="1" t="s">
        <v>6</v>
      </c>
      <c r="K298" s="2" t="s">
        <v>7</v>
      </c>
      <c r="L298" s="1" t="s">
        <v>24</v>
      </c>
      <c r="M298" s="8" t="s">
        <v>25</v>
      </c>
      <c r="N298" s="19" t="s">
        <v>3</v>
      </c>
      <c r="O298" s="1" t="s">
        <v>4</v>
      </c>
      <c r="P298" s="1" t="s">
        <v>6</v>
      </c>
      <c r="Q298" s="2" t="s">
        <v>7</v>
      </c>
      <c r="R298" s="1" t="s">
        <v>24</v>
      </c>
      <c r="S298" s="8" t="s">
        <v>25</v>
      </c>
    </row>
    <row r="299" spans="1:19" x14ac:dyDescent="0.2">
      <c r="A299" s="122">
        <v>1</v>
      </c>
      <c r="B299" s="104">
        <v>16</v>
      </c>
      <c r="C299" s="28">
        <v>13</v>
      </c>
      <c r="D299" s="51">
        <v>72.239999999999995</v>
      </c>
      <c r="E299" s="4">
        <v>71.731999999999999</v>
      </c>
      <c r="F299" s="25">
        <v>1182</v>
      </c>
      <c r="G299" s="36">
        <v>0.48213</v>
      </c>
      <c r="H299" s="104">
        <v>16</v>
      </c>
      <c r="I299" s="28">
        <v>13</v>
      </c>
      <c r="J299" s="51"/>
      <c r="K299" s="4"/>
      <c r="L299" s="25"/>
      <c r="M299" s="36"/>
      <c r="N299" s="104">
        <v>16</v>
      </c>
      <c r="O299" s="28">
        <v>13</v>
      </c>
      <c r="P299" s="51"/>
      <c r="Q299" s="4"/>
      <c r="R299" s="25"/>
      <c r="S299" s="36"/>
    </row>
    <row r="300" spans="1:19" x14ac:dyDescent="0.2">
      <c r="A300" s="123"/>
      <c r="B300" s="105"/>
      <c r="C300" s="29">
        <v>21</v>
      </c>
      <c r="D300" s="4">
        <v>71.7</v>
      </c>
      <c r="E300" s="4">
        <v>69.180999999999997</v>
      </c>
      <c r="F300" s="1">
        <v>1459</v>
      </c>
      <c r="G300" s="33">
        <v>0.41825000000000001</v>
      </c>
      <c r="H300" s="105"/>
      <c r="I300" s="29">
        <v>21</v>
      </c>
      <c r="J300" s="4"/>
      <c r="K300" s="4"/>
      <c r="L300" s="1"/>
      <c r="M300" s="8"/>
      <c r="N300" s="105"/>
      <c r="O300" s="29">
        <v>21</v>
      </c>
      <c r="P300" s="4"/>
      <c r="Q300" s="4"/>
      <c r="R300" s="1"/>
      <c r="S300" s="33"/>
    </row>
    <row r="301" spans="1:19" x14ac:dyDescent="0.2">
      <c r="A301" s="123"/>
      <c r="B301" s="105"/>
      <c r="C301" s="29">
        <v>47</v>
      </c>
      <c r="D301" s="4">
        <v>71.94</v>
      </c>
      <c r="E301" s="4">
        <v>70.331999999999994</v>
      </c>
      <c r="F301" s="1">
        <v>1339</v>
      </c>
      <c r="G301" s="33">
        <v>0.44588</v>
      </c>
      <c r="H301" s="105"/>
      <c r="I301" s="29">
        <v>47</v>
      </c>
      <c r="J301" s="4"/>
      <c r="K301" s="4"/>
      <c r="L301" s="1"/>
      <c r="M301" s="33"/>
      <c r="N301" s="105"/>
      <c r="O301" s="29">
        <v>47</v>
      </c>
      <c r="P301" s="4"/>
      <c r="Q301" s="4"/>
      <c r="R301" s="1"/>
      <c r="S301" s="33"/>
    </row>
    <row r="302" spans="1:19" x14ac:dyDescent="0.2">
      <c r="A302" s="123"/>
      <c r="B302" s="105"/>
      <c r="C302" s="29">
        <v>50</v>
      </c>
      <c r="D302" s="4">
        <v>72.45</v>
      </c>
      <c r="E302" s="4">
        <v>70.376000000000005</v>
      </c>
      <c r="F302" s="1">
        <v>1382</v>
      </c>
      <c r="G302" s="33">
        <v>0.43</v>
      </c>
      <c r="H302" s="105"/>
      <c r="I302" s="29">
        <v>50</v>
      </c>
      <c r="J302" s="4"/>
      <c r="K302" s="4"/>
      <c r="L302" s="1"/>
      <c r="M302" s="8"/>
      <c r="N302" s="105"/>
      <c r="O302" s="29">
        <v>50</v>
      </c>
      <c r="P302" s="4"/>
      <c r="Q302" s="4"/>
      <c r="R302" s="1"/>
      <c r="S302" s="33"/>
    </row>
    <row r="303" spans="1:19" x14ac:dyDescent="0.2">
      <c r="A303" s="123"/>
      <c r="B303" s="105"/>
      <c r="C303" s="30">
        <v>91</v>
      </c>
      <c r="D303" s="27">
        <v>72.67</v>
      </c>
      <c r="E303" s="27">
        <v>70.727999999999994</v>
      </c>
      <c r="F303" s="26">
        <v>1359</v>
      </c>
      <c r="G303" s="52">
        <v>0.4335</v>
      </c>
      <c r="H303" s="105"/>
      <c r="I303" s="30">
        <v>91</v>
      </c>
      <c r="J303" s="27"/>
      <c r="K303" s="27"/>
      <c r="L303" s="26"/>
      <c r="M303" s="32"/>
      <c r="N303" s="105"/>
      <c r="O303" s="30">
        <v>91</v>
      </c>
      <c r="P303" s="27"/>
      <c r="Q303" s="27"/>
      <c r="R303" s="26"/>
      <c r="S303" s="52"/>
    </row>
    <row r="304" spans="1:19" x14ac:dyDescent="0.2">
      <c r="A304" s="121"/>
      <c r="B304" s="105"/>
      <c r="C304" s="6" t="s">
        <v>8</v>
      </c>
      <c r="D304" s="7">
        <f>AVERAGE(D299:D303)</f>
        <v>72.2</v>
      </c>
      <c r="E304" s="7">
        <f>AVERAGE(E299:E303)</f>
        <v>70.469799999999992</v>
      </c>
      <c r="F304" s="35">
        <f>AVERAGE(F299:F303)</f>
        <v>1344.2</v>
      </c>
      <c r="G304" s="34">
        <f>AVERAGE(G299:G303)</f>
        <v>0.44195200000000001</v>
      </c>
      <c r="H304" s="105"/>
      <c r="I304" s="6" t="s">
        <v>8</v>
      </c>
      <c r="J304" s="7" t="e">
        <f>AVERAGE(J299:J303)</f>
        <v>#DIV/0!</v>
      </c>
      <c r="K304" s="7" t="e">
        <f>AVERAGE(K299:K303)</f>
        <v>#DIV/0!</v>
      </c>
      <c r="L304" s="35" t="e">
        <f>AVERAGE(L299:L303)</f>
        <v>#DIV/0!</v>
      </c>
      <c r="M304" s="34" t="e">
        <f>AVERAGE(M299:M303)</f>
        <v>#DIV/0!</v>
      </c>
      <c r="N304" s="105"/>
      <c r="O304" s="6" t="s">
        <v>8</v>
      </c>
      <c r="P304" s="7" t="e">
        <f>AVERAGE(P299:P303)</f>
        <v>#DIV/0!</v>
      </c>
      <c r="Q304" s="7" t="e">
        <f>AVERAGE(Q299:Q303)</f>
        <v>#DIV/0!</v>
      </c>
      <c r="R304" s="35" t="e">
        <f>AVERAGE(R299:R303)</f>
        <v>#DIV/0!</v>
      </c>
      <c r="S304" s="34" t="e">
        <f>AVERAGE(S299:S303)</f>
        <v>#DIV/0!</v>
      </c>
    </row>
    <row r="305" spans="1:19" x14ac:dyDescent="0.2">
      <c r="A305" s="119">
        <v>1.2</v>
      </c>
      <c r="B305" s="105"/>
      <c r="C305" s="28">
        <v>13</v>
      </c>
      <c r="D305" s="25">
        <v>71.53</v>
      </c>
      <c r="E305" s="25">
        <v>72.686000000000007</v>
      </c>
      <c r="F305" s="25">
        <v>969</v>
      </c>
      <c r="G305" s="36">
        <v>0.54249999999999998</v>
      </c>
      <c r="H305" s="105"/>
      <c r="I305" s="28">
        <v>13</v>
      </c>
      <c r="J305" s="25"/>
      <c r="K305" s="25"/>
      <c r="L305" s="25"/>
      <c r="M305" s="31"/>
      <c r="N305" s="105"/>
      <c r="O305" s="28">
        <v>13</v>
      </c>
      <c r="P305" s="25"/>
      <c r="Q305" s="1"/>
      <c r="R305" s="25"/>
      <c r="S305" s="36"/>
    </row>
    <row r="306" spans="1:19" x14ac:dyDescent="0.2">
      <c r="A306" s="109"/>
      <c r="B306" s="105"/>
      <c r="C306" s="29">
        <v>21</v>
      </c>
      <c r="D306" s="4">
        <v>70.08</v>
      </c>
      <c r="E306" s="4">
        <v>72.162999999999997</v>
      </c>
      <c r="F306" s="1">
        <v>897</v>
      </c>
      <c r="G306" s="33">
        <v>0.57499999999999996</v>
      </c>
      <c r="H306" s="105"/>
      <c r="I306" s="29">
        <v>21</v>
      </c>
      <c r="J306" s="4"/>
      <c r="K306" s="4"/>
      <c r="L306" s="1"/>
      <c r="M306" s="8"/>
      <c r="N306" s="105"/>
      <c r="O306" s="29">
        <v>21</v>
      </c>
      <c r="P306" s="4"/>
      <c r="Q306" s="4"/>
      <c r="R306" s="1"/>
      <c r="S306" s="33"/>
    </row>
    <row r="307" spans="1:19" x14ac:dyDescent="0.2">
      <c r="A307" s="109"/>
      <c r="B307" s="105"/>
      <c r="C307" s="29">
        <v>47</v>
      </c>
      <c r="D307" s="4">
        <v>72.11</v>
      </c>
      <c r="E307" s="4">
        <v>71.947999999999993</v>
      </c>
      <c r="F307" s="1">
        <v>1139</v>
      </c>
      <c r="G307" s="33">
        <v>0.49412</v>
      </c>
      <c r="H307" s="105"/>
      <c r="I307" s="29">
        <v>47</v>
      </c>
      <c r="J307" s="4"/>
      <c r="K307" s="4"/>
      <c r="L307" s="1"/>
      <c r="M307" s="8"/>
      <c r="N307" s="105"/>
      <c r="O307" s="29">
        <v>47</v>
      </c>
      <c r="P307" s="4"/>
      <c r="Q307" s="4"/>
      <c r="R307" s="1"/>
      <c r="S307" s="33"/>
    </row>
    <row r="308" spans="1:19" x14ac:dyDescent="0.2">
      <c r="A308" s="109"/>
      <c r="B308" s="105"/>
      <c r="C308" s="29">
        <v>50</v>
      </c>
      <c r="D308" s="4">
        <v>71.94</v>
      </c>
      <c r="E308" s="4">
        <v>72.349000000000004</v>
      </c>
      <c r="F308" s="1">
        <v>1063</v>
      </c>
      <c r="G308" s="33">
        <v>0.51487000000000005</v>
      </c>
      <c r="H308" s="105"/>
      <c r="I308" s="29">
        <v>50</v>
      </c>
      <c r="J308" s="4"/>
      <c r="K308" s="4"/>
      <c r="L308" s="1"/>
      <c r="M308" s="8"/>
      <c r="N308" s="105"/>
      <c r="O308" s="29">
        <v>50</v>
      </c>
      <c r="P308" s="4"/>
      <c r="Q308" s="4"/>
      <c r="R308" s="1"/>
      <c r="S308" s="33"/>
    </row>
    <row r="309" spans="1:19" x14ac:dyDescent="0.2">
      <c r="A309" s="109"/>
      <c r="B309" s="105"/>
      <c r="C309" s="30">
        <v>91</v>
      </c>
      <c r="D309" s="27">
        <v>72.95</v>
      </c>
      <c r="E309" s="27">
        <v>71.968999999999994</v>
      </c>
      <c r="F309" s="26">
        <v>1222</v>
      </c>
      <c r="G309" s="52">
        <v>0.46500000000000002</v>
      </c>
      <c r="H309" s="105"/>
      <c r="I309" s="30">
        <v>91</v>
      </c>
      <c r="J309" s="27"/>
      <c r="K309" s="27"/>
      <c r="L309" s="26"/>
      <c r="M309" s="32"/>
      <c r="N309" s="105"/>
      <c r="O309" s="30">
        <v>91</v>
      </c>
      <c r="P309" s="27"/>
      <c r="Q309" s="27"/>
      <c r="R309" s="26"/>
      <c r="S309" s="52"/>
    </row>
    <row r="310" spans="1:19" x14ac:dyDescent="0.2">
      <c r="A310" s="110"/>
      <c r="B310" s="105"/>
      <c r="C310" s="6" t="s">
        <v>8</v>
      </c>
      <c r="D310" s="7">
        <f>AVERAGE(D305:D309)</f>
        <v>71.722000000000008</v>
      </c>
      <c r="E310" s="7">
        <f>AVERAGE(E305:E309)</f>
        <v>72.222999999999985</v>
      </c>
      <c r="F310" s="35">
        <f>AVERAGE(F305:F309)</f>
        <v>1058</v>
      </c>
      <c r="G310" s="34">
        <f>AVERAGE(G305:G309)</f>
        <v>0.51829799999999993</v>
      </c>
      <c r="H310" s="105"/>
      <c r="I310" s="6" t="s">
        <v>8</v>
      </c>
      <c r="J310" s="7" t="e">
        <f>AVERAGE(J305:J309)</f>
        <v>#DIV/0!</v>
      </c>
      <c r="K310" s="7" t="e">
        <f>AVERAGE(K305:K309)</f>
        <v>#DIV/0!</v>
      </c>
      <c r="L310" s="35" t="e">
        <f>AVERAGE(L305:L309)</f>
        <v>#DIV/0!</v>
      </c>
      <c r="M310" s="34" t="e">
        <f>AVERAGE(M305:M309)</f>
        <v>#DIV/0!</v>
      </c>
      <c r="N310" s="105"/>
      <c r="O310" s="6" t="s">
        <v>8</v>
      </c>
      <c r="P310" s="7" t="e">
        <f>AVERAGE(P305:P309)</f>
        <v>#DIV/0!</v>
      </c>
      <c r="Q310" s="7" t="e">
        <f>AVERAGE(Q305:Q309)</f>
        <v>#DIV/0!</v>
      </c>
      <c r="R310" s="35" t="e">
        <f>AVERAGE(R305:R309)</f>
        <v>#DIV/0!</v>
      </c>
      <c r="S310" s="34" t="e">
        <f>AVERAGE(S305:S309)</f>
        <v>#DIV/0!</v>
      </c>
    </row>
    <row r="311" spans="1:19" x14ac:dyDescent="0.2">
      <c r="A311" s="119">
        <v>1.4</v>
      </c>
      <c r="B311" s="105"/>
      <c r="C311" s="28">
        <v>13</v>
      </c>
      <c r="D311" s="25">
        <v>64.06</v>
      </c>
      <c r="E311" s="25">
        <v>71.56</v>
      </c>
      <c r="F311" s="25">
        <v>383</v>
      </c>
      <c r="G311" s="36">
        <v>0.76361999999999997</v>
      </c>
      <c r="H311" s="105"/>
      <c r="I311" s="28">
        <v>13</v>
      </c>
      <c r="J311" s="25"/>
      <c r="K311" s="25"/>
      <c r="L311" s="25"/>
      <c r="M311" s="31"/>
      <c r="N311" s="105"/>
      <c r="O311" s="28">
        <v>13</v>
      </c>
      <c r="P311" s="25"/>
      <c r="Q311" s="25"/>
      <c r="R311" s="25"/>
      <c r="S311" s="36"/>
    </row>
    <row r="312" spans="1:19" x14ac:dyDescent="0.2">
      <c r="A312" s="109"/>
      <c r="B312" s="105"/>
      <c r="C312" s="29">
        <v>21</v>
      </c>
      <c r="D312" s="4">
        <v>61.26</v>
      </c>
      <c r="E312" s="4">
        <v>69.944999999999993</v>
      </c>
      <c r="F312" s="1">
        <v>394</v>
      </c>
      <c r="G312" s="33">
        <v>0.78886999999999996</v>
      </c>
      <c r="H312" s="105"/>
      <c r="I312" s="29">
        <v>21</v>
      </c>
      <c r="J312" s="4"/>
      <c r="K312" s="4"/>
      <c r="L312" s="1"/>
      <c r="M312" s="8"/>
      <c r="N312" s="105"/>
      <c r="O312" s="29">
        <v>21</v>
      </c>
      <c r="P312" s="4"/>
      <c r="Q312" s="4"/>
      <c r="R312" s="1"/>
      <c r="S312" s="33"/>
    </row>
    <row r="313" spans="1:19" x14ac:dyDescent="0.2">
      <c r="A313" s="109"/>
      <c r="B313" s="105"/>
      <c r="C313" s="29">
        <v>47</v>
      </c>
      <c r="D313" s="4">
        <v>65.69</v>
      </c>
      <c r="E313" s="4">
        <v>72.010000000000005</v>
      </c>
      <c r="F313" s="1">
        <v>469</v>
      </c>
      <c r="G313" s="33">
        <v>0.72587999999999997</v>
      </c>
      <c r="H313" s="105"/>
      <c r="I313" s="29">
        <v>47</v>
      </c>
      <c r="J313" s="4"/>
      <c r="K313" s="4"/>
      <c r="L313" s="1"/>
      <c r="M313" s="8"/>
      <c r="N313" s="105"/>
      <c r="O313" s="29">
        <v>47</v>
      </c>
      <c r="P313" s="4"/>
      <c r="Q313" s="4"/>
      <c r="R313" s="1"/>
      <c r="S313" s="33"/>
    </row>
    <row r="314" spans="1:19" x14ac:dyDescent="0.2">
      <c r="A314" s="109"/>
      <c r="B314" s="105"/>
      <c r="C314" s="29">
        <v>50</v>
      </c>
      <c r="D314" s="4">
        <v>65.510000000000005</v>
      </c>
      <c r="E314" s="4">
        <v>71.855999999999995</v>
      </c>
      <c r="F314" s="1">
        <v>478</v>
      </c>
      <c r="G314" s="33">
        <v>0.72536999999999996</v>
      </c>
      <c r="H314" s="105"/>
      <c r="I314" s="29">
        <v>50</v>
      </c>
      <c r="J314" s="4"/>
      <c r="K314" s="4"/>
      <c r="L314" s="1"/>
      <c r="M314" s="8"/>
      <c r="N314" s="105"/>
      <c r="O314" s="29">
        <v>50</v>
      </c>
      <c r="P314" s="4"/>
      <c r="Q314" s="4"/>
      <c r="R314" s="1"/>
      <c r="S314" s="33"/>
    </row>
    <row r="315" spans="1:19" x14ac:dyDescent="0.2">
      <c r="A315" s="109"/>
      <c r="B315" s="105"/>
      <c r="C315" s="30">
        <v>91</v>
      </c>
      <c r="D315" s="27">
        <v>62.12</v>
      </c>
      <c r="E315" s="27">
        <v>70.86</v>
      </c>
      <c r="F315" s="26">
        <v>316</v>
      </c>
      <c r="G315" s="52">
        <v>0.79974999999999996</v>
      </c>
      <c r="H315" s="105"/>
      <c r="I315" s="30">
        <v>91</v>
      </c>
      <c r="J315" s="27"/>
      <c r="K315" s="27"/>
      <c r="L315" s="26"/>
      <c r="M315" s="32"/>
      <c r="N315" s="105"/>
      <c r="O315" s="30">
        <v>91</v>
      </c>
      <c r="P315" s="27"/>
      <c r="Q315" s="27"/>
      <c r="R315" s="26"/>
      <c r="S315" s="52"/>
    </row>
    <row r="316" spans="1:19" x14ac:dyDescent="0.2">
      <c r="A316" s="110"/>
      <c r="B316" s="105"/>
      <c r="C316" s="6" t="s">
        <v>8</v>
      </c>
      <c r="D316" s="7">
        <f>AVERAGE(D311:D315)</f>
        <v>63.727999999999994</v>
      </c>
      <c r="E316" s="7">
        <f>AVERAGE(E311:E315)</f>
        <v>71.246200000000002</v>
      </c>
      <c r="F316" s="35">
        <f>AVERAGE(F311:F315)</f>
        <v>408</v>
      </c>
      <c r="G316" s="34">
        <f>AVERAGE(G311:G315)</f>
        <v>0.76069799999999987</v>
      </c>
      <c r="H316" s="105"/>
      <c r="I316" s="6" t="s">
        <v>8</v>
      </c>
      <c r="J316" s="7" t="e">
        <f>AVERAGE(J311:J315)</f>
        <v>#DIV/0!</v>
      </c>
      <c r="K316" s="7" t="e">
        <f>AVERAGE(K311:K315)</f>
        <v>#DIV/0!</v>
      </c>
      <c r="L316" s="35" t="e">
        <f>AVERAGE(L311:L315)</f>
        <v>#DIV/0!</v>
      </c>
      <c r="M316" s="34" t="e">
        <f>AVERAGE(M311:M315)</f>
        <v>#DIV/0!</v>
      </c>
      <c r="N316" s="105"/>
      <c r="O316" s="6" t="s">
        <v>8</v>
      </c>
      <c r="P316" s="7" t="e">
        <f>AVERAGE(P311:P315)</f>
        <v>#DIV/0!</v>
      </c>
      <c r="Q316" s="7" t="e">
        <f>AVERAGE(Q311:Q315)</f>
        <v>#DIV/0!</v>
      </c>
      <c r="R316" s="35" t="e">
        <f>AVERAGE(R311:R315)</f>
        <v>#DIV/0!</v>
      </c>
      <c r="S316" s="34" t="e">
        <f>AVERAGE(S311:S315)</f>
        <v>#DIV/0!</v>
      </c>
    </row>
    <row r="317" spans="1:19" x14ac:dyDescent="0.2">
      <c r="A317" s="119">
        <v>1.6</v>
      </c>
      <c r="B317" s="105"/>
      <c r="C317" s="28">
        <v>13</v>
      </c>
      <c r="D317" s="25">
        <v>51.74</v>
      </c>
      <c r="E317" s="25">
        <v>67.182000000000002</v>
      </c>
      <c r="F317" s="25">
        <v>48</v>
      </c>
      <c r="G317" s="36">
        <v>0.97062000000000004</v>
      </c>
      <c r="H317" s="105"/>
      <c r="I317" s="28">
        <v>13</v>
      </c>
      <c r="J317" s="25"/>
      <c r="K317" s="25"/>
      <c r="L317" s="25"/>
      <c r="M317" s="31"/>
      <c r="N317" s="105"/>
      <c r="O317" s="28">
        <v>13</v>
      </c>
      <c r="P317" s="25"/>
      <c r="Q317" s="25"/>
      <c r="R317" s="25"/>
      <c r="S317" s="36"/>
    </row>
    <row r="318" spans="1:19" x14ac:dyDescent="0.2">
      <c r="A318" s="109"/>
      <c r="B318" s="105"/>
      <c r="C318" s="29">
        <v>21</v>
      </c>
      <c r="D318" s="4">
        <v>52.45</v>
      </c>
      <c r="E318" s="4">
        <v>67.325000000000003</v>
      </c>
      <c r="F318" s="1">
        <v>81</v>
      </c>
      <c r="G318" s="33">
        <v>0.95525000000000004</v>
      </c>
      <c r="H318" s="105"/>
      <c r="I318" s="29">
        <v>21</v>
      </c>
      <c r="J318" s="4"/>
      <c r="K318" s="4"/>
      <c r="L318" s="1"/>
      <c r="M318" s="8"/>
      <c r="N318" s="105"/>
      <c r="O318" s="29">
        <v>21</v>
      </c>
      <c r="P318" s="4"/>
      <c r="Q318" s="4"/>
      <c r="R318" s="1"/>
      <c r="S318" s="33"/>
    </row>
    <row r="319" spans="1:19" x14ac:dyDescent="0.2">
      <c r="A319" s="109"/>
      <c r="B319" s="105"/>
      <c r="C319" s="29">
        <v>47</v>
      </c>
      <c r="D319" s="4">
        <v>53.87</v>
      </c>
      <c r="E319" s="4">
        <v>67.795000000000002</v>
      </c>
      <c r="F319" s="1">
        <v>116</v>
      </c>
      <c r="G319" s="33">
        <v>0.93225000000000002</v>
      </c>
      <c r="H319" s="105"/>
      <c r="I319" s="29">
        <v>47</v>
      </c>
      <c r="J319" s="4"/>
      <c r="K319" s="4"/>
      <c r="L319" s="1"/>
      <c r="M319" s="33"/>
      <c r="N319" s="105"/>
      <c r="O319" s="29">
        <v>47</v>
      </c>
      <c r="P319" s="4"/>
      <c r="Q319" s="4"/>
      <c r="R319" s="1"/>
      <c r="S319" s="33"/>
    </row>
    <row r="320" spans="1:19" x14ac:dyDescent="0.2">
      <c r="A320" s="109"/>
      <c r="B320" s="105"/>
      <c r="C320" s="29">
        <v>50</v>
      </c>
      <c r="D320" s="4">
        <v>54.07</v>
      </c>
      <c r="E320" s="4">
        <v>68.113</v>
      </c>
      <c r="F320" s="1">
        <v>76</v>
      </c>
      <c r="G320" s="33">
        <v>0.94025000000000003</v>
      </c>
      <c r="H320" s="105"/>
      <c r="I320" s="29">
        <v>50</v>
      </c>
      <c r="J320" s="4"/>
      <c r="K320" s="4"/>
      <c r="L320" s="1"/>
      <c r="M320" s="8"/>
      <c r="N320" s="105"/>
      <c r="O320" s="29">
        <v>50</v>
      </c>
      <c r="P320" s="4"/>
      <c r="Q320" s="4"/>
      <c r="R320" s="1"/>
      <c r="S320" s="33"/>
    </row>
    <row r="321" spans="1:19" x14ac:dyDescent="0.2">
      <c r="A321" s="109"/>
      <c r="B321" s="105"/>
      <c r="C321" s="30">
        <v>91</v>
      </c>
      <c r="D321" s="27">
        <v>54.1</v>
      </c>
      <c r="E321" s="27">
        <v>68.108000000000004</v>
      </c>
      <c r="F321" s="26">
        <v>79</v>
      </c>
      <c r="G321" s="52">
        <v>0.93925000000000003</v>
      </c>
      <c r="H321" s="105"/>
      <c r="I321" s="30">
        <v>91</v>
      </c>
      <c r="J321" s="27"/>
      <c r="K321" s="27"/>
      <c r="L321" s="26"/>
      <c r="M321" s="56"/>
      <c r="N321" s="105"/>
      <c r="O321" s="30">
        <v>91</v>
      </c>
      <c r="P321" s="27"/>
      <c r="Q321" s="27"/>
      <c r="R321" s="26"/>
      <c r="S321" s="52"/>
    </row>
    <row r="322" spans="1:19" x14ac:dyDescent="0.2">
      <c r="A322" s="110"/>
      <c r="B322" s="105"/>
      <c r="C322" s="6" t="s">
        <v>8</v>
      </c>
      <c r="D322" s="7">
        <f>AVERAGE(D317:D321)</f>
        <v>53.246000000000002</v>
      </c>
      <c r="E322" s="7">
        <f>AVERAGE(E317:E321)</f>
        <v>67.704599999999999</v>
      </c>
      <c r="F322" s="35">
        <f>AVERAGE(F317:F321)</f>
        <v>80</v>
      </c>
      <c r="G322" s="34">
        <f>AVERAGE(G317:G321)</f>
        <v>0.94752400000000014</v>
      </c>
      <c r="H322" s="105"/>
      <c r="I322" s="6" t="s">
        <v>8</v>
      </c>
      <c r="J322" s="7" t="e">
        <f>AVERAGE(J317:J321)</f>
        <v>#DIV/0!</v>
      </c>
      <c r="K322" s="7" t="e">
        <f>AVERAGE(K317:K321)</f>
        <v>#DIV/0!</v>
      </c>
      <c r="L322" s="35" t="e">
        <f>AVERAGE(L317:L321)</f>
        <v>#DIV/0!</v>
      </c>
      <c r="M322" s="34" t="e">
        <f>AVERAGE(M317:M321)</f>
        <v>#DIV/0!</v>
      </c>
      <c r="N322" s="105"/>
      <c r="O322" s="6" t="s">
        <v>8</v>
      </c>
      <c r="P322" s="7" t="e">
        <f>AVERAGE(P317:P321)</f>
        <v>#DIV/0!</v>
      </c>
      <c r="Q322" s="7" t="e">
        <f>AVERAGE(Q317:Q321)</f>
        <v>#DIV/0!</v>
      </c>
      <c r="R322" s="35" t="e">
        <f>AVERAGE(R317:R321)</f>
        <v>#DIV/0!</v>
      </c>
      <c r="S322" s="34" t="e">
        <f>AVERAGE(S317:S321)</f>
        <v>#DIV/0!</v>
      </c>
    </row>
    <row r="323" spans="1:19" x14ac:dyDescent="0.2">
      <c r="A323" s="119">
        <v>1.8</v>
      </c>
      <c r="B323" s="105"/>
      <c r="C323" s="28">
        <v>13</v>
      </c>
      <c r="D323" s="25">
        <v>50.11</v>
      </c>
      <c r="E323" s="25">
        <v>66.694000000000003</v>
      </c>
      <c r="F323" s="25">
        <v>4</v>
      </c>
      <c r="G323" s="36">
        <v>0.99787000000000003</v>
      </c>
      <c r="H323" s="105"/>
      <c r="I323" s="28">
        <v>13</v>
      </c>
      <c r="J323" s="25"/>
      <c r="K323" s="25"/>
      <c r="L323" s="25"/>
      <c r="M323" s="31"/>
      <c r="N323" s="105"/>
      <c r="O323" s="28">
        <v>13</v>
      </c>
      <c r="P323" s="25"/>
      <c r="Q323" s="25"/>
      <c r="R323" s="25"/>
      <c r="S323" s="36"/>
    </row>
    <row r="324" spans="1:19" x14ac:dyDescent="0.2">
      <c r="A324" s="109"/>
      <c r="B324" s="105"/>
      <c r="C324" s="29">
        <v>21</v>
      </c>
      <c r="D324" s="4">
        <v>50.14</v>
      </c>
      <c r="E324" s="4">
        <v>66.677999999999997</v>
      </c>
      <c r="F324" s="1">
        <v>9</v>
      </c>
      <c r="G324" s="33">
        <v>0.99638000000000004</v>
      </c>
      <c r="H324" s="105"/>
      <c r="I324" s="29">
        <v>21</v>
      </c>
      <c r="J324" s="4"/>
      <c r="K324" s="4"/>
      <c r="L324" s="1"/>
      <c r="M324" s="8"/>
      <c r="N324" s="105"/>
      <c r="O324" s="29">
        <v>21</v>
      </c>
      <c r="P324" s="4"/>
      <c r="Q324" s="4"/>
      <c r="R324" s="1"/>
      <c r="S324" s="33"/>
    </row>
    <row r="325" spans="1:19" x14ac:dyDescent="0.2">
      <c r="A325" s="109"/>
      <c r="B325" s="105"/>
      <c r="C325" s="29">
        <v>47</v>
      </c>
      <c r="D325" s="4">
        <v>50.18</v>
      </c>
      <c r="E325" s="4">
        <v>66.710999999999999</v>
      </c>
      <c r="F325" s="1">
        <v>6</v>
      </c>
      <c r="G325" s="33">
        <v>0.99675000000000002</v>
      </c>
      <c r="H325" s="105"/>
      <c r="I325" s="29">
        <v>47</v>
      </c>
      <c r="J325" s="4"/>
      <c r="K325" s="4"/>
      <c r="L325" s="1"/>
      <c r="M325" s="8"/>
      <c r="N325" s="105"/>
      <c r="O325" s="29">
        <v>47</v>
      </c>
      <c r="P325" s="4"/>
      <c r="Q325" s="4"/>
      <c r="R325" s="1"/>
      <c r="S325" s="33"/>
    </row>
    <row r="326" spans="1:19" x14ac:dyDescent="0.2">
      <c r="A326" s="109"/>
      <c r="B326" s="105"/>
      <c r="C326" s="29">
        <v>50</v>
      </c>
      <c r="D326" s="4">
        <v>50.49</v>
      </c>
      <c r="E326" s="4">
        <v>66.861999999999995</v>
      </c>
      <c r="F326" s="1">
        <v>4</v>
      </c>
      <c r="G326" s="33">
        <v>0.99412999999999996</v>
      </c>
      <c r="H326" s="105"/>
      <c r="I326" s="29">
        <v>50</v>
      </c>
      <c r="J326" s="4"/>
      <c r="K326" s="4"/>
      <c r="L326" s="1"/>
      <c r="M326" s="8"/>
      <c r="N326" s="105"/>
      <c r="O326" s="29">
        <v>50</v>
      </c>
      <c r="P326" s="4"/>
      <c r="Q326" s="4"/>
      <c r="R326" s="1"/>
      <c r="S326" s="33"/>
    </row>
    <row r="327" spans="1:19" x14ac:dyDescent="0.2">
      <c r="A327" s="109"/>
      <c r="B327" s="105"/>
      <c r="C327" s="30">
        <v>91</v>
      </c>
      <c r="D327" s="27">
        <v>50.06</v>
      </c>
      <c r="E327" s="27">
        <v>66.694000000000003</v>
      </c>
      <c r="F327" s="26">
        <v>0</v>
      </c>
      <c r="G327" s="52">
        <v>0.99938000000000005</v>
      </c>
      <c r="H327" s="105"/>
      <c r="I327" s="30">
        <v>91</v>
      </c>
      <c r="J327" s="27"/>
      <c r="K327" s="27"/>
      <c r="L327" s="26"/>
      <c r="M327" s="32"/>
      <c r="N327" s="105"/>
      <c r="O327" s="30">
        <v>91</v>
      </c>
      <c r="P327" s="27"/>
      <c r="Q327" s="27"/>
      <c r="R327" s="26"/>
      <c r="S327" s="52"/>
    </row>
    <row r="328" spans="1:19" x14ac:dyDescent="0.2">
      <c r="A328" s="110"/>
      <c r="B328" s="105"/>
      <c r="C328" s="6" t="s">
        <v>8</v>
      </c>
      <c r="D328" s="7">
        <f>AVERAGE(D323:D327)</f>
        <v>50.196000000000005</v>
      </c>
      <c r="E328" s="7">
        <f>AVERAGE(E323:E327)</f>
        <v>66.727800000000016</v>
      </c>
      <c r="F328" s="35">
        <f>AVERAGE(F323:F327)</f>
        <v>4.5999999999999996</v>
      </c>
      <c r="G328" s="34">
        <f>AVERAGE(G323:G327)</f>
        <v>0.99690200000000007</v>
      </c>
      <c r="H328" s="105"/>
      <c r="I328" s="6" t="s">
        <v>8</v>
      </c>
      <c r="J328" s="7" t="e">
        <f>AVERAGE(J323:J327)</f>
        <v>#DIV/0!</v>
      </c>
      <c r="K328" s="7" t="e">
        <f>AVERAGE(K323:K327)</f>
        <v>#DIV/0!</v>
      </c>
      <c r="L328" s="35" t="e">
        <f>AVERAGE(L323:L327)</f>
        <v>#DIV/0!</v>
      </c>
      <c r="M328" s="34" t="e">
        <f>AVERAGE(M323:M327)</f>
        <v>#DIV/0!</v>
      </c>
      <c r="N328" s="105"/>
      <c r="O328" s="6" t="s">
        <v>8</v>
      </c>
      <c r="P328" s="7" t="e">
        <f>AVERAGE(P323:P327)</f>
        <v>#DIV/0!</v>
      </c>
      <c r="Q328" s="7" t="e">
        <f>AVERAGE(Q323:Q327)</f>
        <v>#DIV/0!</v>
      </c>
      <c r="R328" s="35" t="e">
        <f>AVERAGE(R323:R327)</f>
        <v>#DIV/0!</v>
      </c>
      <c r="S328" s="34" t="e">
        <f>AVERAGE(S323:S327)</f>
        <v>#DIV/0!</v>
      </c>
    </row>
    <row r="329" spans="1:19" x14ac:dyDescent="0.2">
      <c r="A329" s="119">
        <v>2</v>
      </c>
      <c r="B329" s="105"/>
      <c r="C329" s="28">
        <v>13</v>
      </c>
      <c r="D329" s="25">
        <v>50.06</v>
      </c>
      <c r="E329" s="25">
        <v>66.694000000000003</v>
      </c>
      <c r="F329" s="25">
        <v>0</v>
      </c>
      <c r="G329" s="36">
        <v>0.99938000000000005</v>
      </c>
      <c r="H329" s="105"/>
      <c r="I329" s="28">
        <v>13</v>
      </c>
      <c r="J329" s="25"/>
      <c r="K329" s="25"/>
      <c r="L329" s="25"/>
      <c r="M329" s="31"/>
      <c r="N329" s="105"/>
      <c r="O329" s="28">
        <v>13</v>
      </c>
      <c r="P329" s="25"/>
      <c r="Q329" s="25"/>
      <c r="R329" s="25"/>
      <c r="S329" s="36"/>
    </row>
    <row r="330" spans="1:19" x14ac:dyDescent="0.2">
      <c r="A330" s="109"/>
      <c r="B330" s="105"/>
      <c r="C330" s="29">
        <v>21</v>
      </c>
      <c r="D330" s="4">
        <v>50.01</v>
      </c>
      <c r="E330" s="4">
        <v>66.671999999999997</v>
      </c>
      <c r="F330" s="1">
        <v>0</v>
      </c>
      <c r="G330" s="33">
        <v>0.99987000000000004</v>
      </c>
      <c r="H330" s="105"/>
      <c r="I330" s="29">
        <v>21</v>
      </c>
      <c r="J330" s="4"/>
      <c r="K330" s="4"/>
      <c r="L330" s="1"/>
      <c r="M330" s="8"/>
      <c r="N330" s="105"/>
      <c r="O330" s="29">
        <v>21</v>
      </c>
      <c r="P330" s="4"/>
      <c r="Q330" s="4"/>
      <c r="R330" s="1"/>
      <c r="S330" s="33"/>
    </row>
    <row r="331" spans="1:19" x14ac:dyDescent="0.2">
      <c r="A331" s="109"/>
      <c r="B331" s="105"/>
      <c r="C331" s="29">
        <v>47</v>
      </c>
      <c r="D331" s="4">
        <v>50</v>
      </c>
      <c r="E331" s="4">
        <v>66.667000000000002</v>
      </c>
      <c r="F331" s="1">
        <v>0</v>
      </c>
      <c r="G331" s="33">
        <v>1</v>
      </c>
      <c r="H331" s="105"/>
      <c r="I331" s="29">
        <v>47</v>
      </c>
      <c r="J331" s="4"/>
      <c r="K331" s="4"/>
      <c r="L331" s="1"/>
      <c r="M331" s="8"/>
      <c r="N331" s="105"/>
      <c r="O331" s="29">
        <v>47</v>
      </c>
      <c r="P331" s="4"/>
      <c r="Q331" s="4"/>
      <c r="R331" s="1"/>
      <c r="S331" s="33"/>
    </row>
    <row r="332" spans="1:19" x14ac:dyDescent="0.2">
      <c r="A332" s="109"/>
      <c r="B332" s="105"/>
      <c r="C332" s="29">
        <v>50</v>
      </c>
      <c r="D332" s="4">
        <v>50</v>
      </c>
      <c r="E332" s="4">
        <v>66.667000000000002</v>
      </c>
      <c r="F332" s="1">
        <v>0</v>
      </c>
      <c r="G332" s="33">
        <v>1</v>
      </c>
      <c r="H332" s="105"/>
      <c r="I332" s="29">
        <v>50</v>
      </c>
      <c r="J332" s="4"/>
      <c r="K332" s="4"/>
      <c r="L332" s="1"/>
      <c r="M332" s="8"/>
      <c r="N332" s="105"/>
      <c r="O332" s="29">
        <v>50</v>
      </c>
      <c r="P332" s="4"/>
      <c r="Q332" s="4"/>
      <c r="R332" s="1"/>
      <c r="S332" s="33"/>
    </row>
    <row r="333" spans="1:19" x14ac:dyDescent="0.2">
      <c r="A333" s="109"/>
      <c r="B333" s="105"/>
      <c r="C333" s="30">
        <v>91</v>
      </c>
      <c r="D333" s="27">
        <v>50</v>
      </c>
      <c r="E333" s="27">
        <v>66.667000000000002</v>
      </c>
      <c r="F333" s="26">
        <v>0</v>
      </c>
      <c r="G333" s="52">
        <v>1</v>
      </c>
      <c r="H333" s="105"/>
      <c r="I333" s="30">
        <v>91</v>
      </c>
      <c r="J333" s="27"/>
      <c r="K333" s="27"/>
      <c r="L333" s="26"/>
      <c r="M333" s="32"/>
      <c r="N333" s="105"/>
      <c r="O333" s="30">
        <v>91</v>
      </c>
      <c r="P333" s="27"/>
      <c r="Q333" s="27"/>
      <c r="R333" s="26"/>
      <c r="S333" s="52"/>
    </row>
    <row r="334" spans="1:19" x14ac:dyDescent="0.2">
      <c r="A334" s="110"/>
      <c r="B334" s="106"/>
      <c r="C334" s="6" t="s">
        <v>8</v>
      </c>
      <c r="D334" s="7">
        <f>AVERAGE(D329:D333)</f>
        <v>50.013999999999996</v>
      </c>
      <c r="E334" s="7">
        <f>AVERAGE(E329:E333)</f>
        <v>66.673399999999987</v>
      </c>
      <c r="F334" s="35">
        <f>AVERAGE(F329:F333)</f>
        <v>0</v>
      </c>
      <c r="G334" s="34">
        <f>AVERAGE(G329:G333)</f>
        <v>0.99985000000000002</v>
      </c>
      <c r="H334" s="106"/>
      <c r="I334" s="6" t="s">
        <v>8</v>
      </c>
      <c r="J334" s="7" t="e">
        <f>AVERAGE(J329:J333)</f>
        <v>#DIV/0!</v>
      </c>
      <c r="K334" s="7" t="e">
        <f>AVERAGE(K329:K333)</f>
        <v>#DIV/0!</v>
      </c>
      <c r="L334" s="35" t="e">
        <f>AVERAGE(L329:L333)</f>
        <v>#DIV/0!</v>
      </c>
      <c r="M334" s="34" t="e">
        <f>AVERAGE(M329:M333)</f>
        <v>#DIV/0!</v>
      </c>
      <c r="N334" s="106"/>
      <c r="O334" s="6" t="s">
        <v>8</v>
      </c>
      <c r="P334" s="7" t="e">
        <f>AVERAGE(P329:P333)</f>
        <v>#DIV/0!</v>
      </c>
      <c r="Q334" s="7" t="e">
        <f>AVERAGE(Q329:Q333)</f>
        <v>#DIV/0!</v>
      </c>
      <c r="R334" s="35" t="e">
        <f>AVERAGE(R329:R333)</f>
        <v>#DIV/0!</v>
      </c>
      <c r="S334" s="34" t="e">
        <f>AVERAGE(S329:S333)</f>
        <v>#DIV/0!</v>
      </c>
    </row>
    <row r="336" spans="1:19" x14ac:dyDescent="0.2">
      <c r="A336" s="38" t="s">
        <v>26</v>
      </c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</row>
    <row r="338" spans="1:19" x14ac:dyDescent="0.2">
      <c r="A338" s="21"/>
      <c r="B338" s="107" t="s">
        <v>60</v>
      </c>
      <c r="C338" s="108"/>
      <c r="D338" s="108"/>
      <c r="E338" s="108"/>
      <c r="F338" s="108"/>
      <c r="G338" s="111"/>
      <c r="H338" s="107" t="s">
        <v>61</v>
      </c>
      <c r="I338" s="108"/>
      <c r="J338" s="108"/>
      <c r="K338" s="108"/>
      <c r="L338" s="108"/>
      <c r="M338" s="111"/>
      <c r="N338" s="107" t="s">
        <v>62</v>
      </c>
      <c r="O338" s="108"/>
      <c r="P338" s="108"/>
      <c r="Q338" s="108"/>
      <c r="R338" s="108"/>
      <c r="S338" s="111"/>
    </row>
    <row r="339" spans="1:19" x14ac:dyDescent="0.2">
      <c r="A339" s="21"/>
      <c r="B339" s="47" t="s">
        <v>3</v>
      </c>
      <c r="C339" s="39" t="s">
        <v>23</v>
      </c>
      <c r="D339" s="25" t="s">
        <v>27</v>
      </c>
      <c r="E339" s="25" t="s">
        <v>7</v>
      </c>
      <c r="F339" s="25" t="s">
        <v>24</v>
      </c>
      <c r="G339" s="31" t="s">
        <v>25</v>
      </c>
      <c r="H339" s="47" t="s">
        <v>3</v>
      </c>
      <c r="I339" s="39" t="s">
        <v>23</v>
      </c>
      <c r="J339" s="25" t="s">
        <v>27</v>
      </c>
      <c r="K339" s="25" t="s">
        <v>7</v>
      </c>
      <c r="L339" s="25" t="s">
        <v>24</v>
      </c>
      <c r="M339" s="31" t="s">
        <v>25</v>
      </c>
      <c r="N339" s="47" t="s">
        <v>3</v>
      </c>
      <c r="O339" s="39" t="s">
        <v>23</v>
      </c>
      <c r="P339" s="25" t="s">
        <v>27</v>
      </c>
      <c r="Q339" s="25" t="s">
        <v>7</v>
      </c>
      <c r="R339" s="25" t="s">
        <v>24</v>
      </c>
      <c r="S339" s="31" t="s">
        <v>25</v>
      </c>
    </row>
    <row r="340" spans="1:19" x14ac:dyDescent="0.2">
      <c r="A340" s="21"/>
      <c r="B340" s="100">
        <v>8</v>
      </c>
      <c r="C340" s="39">
        <v>1</v>
      </c>
      <c r="D340" s="40">
        <f>D264</f>
        <v>72.265999999999991</v>
      </c>
      <c r="E340" s="40">
        <f>E264</f>
        <v>70.87360000000001</v>
      </c>
      <c r="F340" s="41">
        <f>F264</f>
        <v>1299.4000000000001</v>
      </c>
      <c r="G340" s="48">
        <f>G264</f>
        <v>0.45247400000000004</v>
      </c>
      <c r="H340" s="100">
        <v>8</v>
      </c>
      <c r="I340" s="39">
        <v>1</v>
      </c>
      <c r="J340" s="40" t="e">
        <f>J264</f>
        <v>#DIV/0!</v>
      </c>
      <c r="K340" s="40" t="e">
        <f>K264</f>
        <v>#DIV/0!</v>
      </c>
      <c r="L340" s="41" t="e">
        <f>L264</f>
        <v>#DIV/0!</v>
      </c>
      <c r="M340" s="48" t="e">
        <f>M264</f>
        <v>#DIV/0!</v>
      </c>
      <c r="N340" s="100">
        <v>8</v>
      </c>
      <c r="O340" s="39">
        <v>1</v>
      </c>
      <c r="P340" s="40" t="e">
        <f>P264</f>
        <v>#DIV/0!</v>
      </c>
      <c r="Q340" s="40" t="e">
        <f>Q264</f>
        <v>#DIV/0!</v>
      </c>
      <c r="R340" s="41" t="e">
        <f>R264</f>
        <v>#DIV/0!</v>
      </c>
      <c r="S340" s="48" t="e">
        <f>S264</f>
        <v>#DIV/0!</v>
      </c>
    </row>
    <row r="341" spans="1:19" x14ac:dyDescent="0.2">
      <c r="A341" s="21"/>
      <c r="B341" s="103"/>
      <c r="C341" s="21">
        <v>1.2</v>
      </c>
      <c r="D341" s="42">
        <f>D270</f>
        <v>71.455999999999989</v>
      </c>
      <c r="E341" s="42">
        <f>E270</f>
        <v>72.105199999999996</v>
      </c>
      <c r="F341" s="43">
        <f>F270</f>
        <v>1048</v>
      </c>
      <c r="G341" s="49">
        <f>G270</f>
        <v>0.52342599999999995</v>
      </c>
      <c r="H341" s="103"/>
      <c r="I341" s="21">
        <v>1.2</v>
      </c>
      <c r="J341" s="42" t="e">
        <f>J270</f>
        <v>#DIV/0!</v>
      </c>
      <c r="K341" s="42" t="e">
        <f>K270</f>
        <v>#DIV/0!</v>
      </c>
      <c r="L341" s="43" t="e">
        <f>L270</f>
        <v>#DIV/0!</v>
      </c>
      <c r="M341" s="49" t="e">
        <f>M270</f>
        <v>#DIV/0!</v>
      </c>
      <c r="N341" s="103"/>
      <c r="O341" s="21">
        <v>1.2</v>
      </c>
      <c r="P341" s="42" t="e">
        <f>P270</f>
        <v>#DIV/0!</v>
      </c>
      <c r="Q341" s="42" t="e">
        <f>Q270</f>
        <v>#DIV/0!</v>
      </c>
      <c r="R341" s="43" t="e">
        <f>R270</f>
        <v>#DIV/0!</v>
      </c>
      <c r="S341" s="49" t="e">
        <f>S270</f>
        <v>#DIV/0!</v>
      </c>
    </row>
    <row r="342" spans="1:19" x14ac:dyDescent="0.2">
      <c r="A342" s="21"/>
      <c r="B342" s="103"/>
      <c r="C342" s="21">
        <v>1.4</v>
      </c>
      <c r="D342" s="42">
        <f>D276</f>
        <v>65.146499999999989</v>
      </c>
      <c r="E342" s="42">
        <f>E276</f>
        <v>71.518799999999999</v>
      </c>
      <c r="F342" s="43">
        <f>F276</f>
        <v>500.6</v>
      </c>
      <c r="G342" s="49">
        <f>G276</f>
        <v>0.72337200000000001</v>
      </c>
      <c r="H342" s="103"/>
      <c r="I342" s="21">
        <v>1.4</v>
      </c>
      <c r="J342" s="42" t="e">
        <f>J276</f>
        <v>#DIV/0!</v>
      </c>
      <c r="K342" s="42" t="e">
        <f>K276</f>
        <v>#DIV/0!</v>
      </c>
      <c r="L342" s="43" t="e">
        <f>L276</f>
        <v>#DIV/0!</v>
      </c>
      <c r="M342" s="49" t="e">
        <f>M276</f>
        <v>#DIV/0!</v>
      </c>
      <c r="N342" s="103"/>
      <c r="O342" s="21">
        <v>1.4</v>
      </c>
      <c r="P342" s="42" t="e">
        <f>P276</f>
        <v>#DIV/0!</v>
      </c>
      <c r="Q342" s="42" t="e">
        <f>Q276</f>
        <v>#DIV/0!</v>
      </c>
      <c r="R342" s="43" t="e">
        <f>R276</f>
        <v>#DIV/0!</v>
      </c>
      <c r="S342" s="49" t="e">
        <f>S276</f>
        <v>#DIV/0!</v>
      </c>
    </row>
    <row r="343" spans="1:19" x14ac:dyDescent="0.2">
      <c r="A343" s="21"/>
      <c r="B343" s="103"/>
      <c r="C343" s="21">
        <v>1.6</v>
      </c>
      <c r="D343" s="42">
        <f>D282</f>
        <v>56.275999999999996</v>
      </c>
      <c r="E343" s="42">
        <f>E282</f>
        <v>68.71459999999999</v>
      </c>
      <c r="F343" s="43">
        <f>F282</f>
        <v>159.4</v>
      </c>
      <c r="G343" s="49">
        <f>G282</f>
        <v>0.89737399999999989</v>
      </c>
      <c r="H343" s="103"/>
      <c r="I343" s="21">
        <v>1.6</v>
      </c>
      <c r="J343" s="42" t="e">
        <f>J282</f>
        <v>#DIV/0!</v>
      </c>
      <c r="K343" s="42" t="e">
        <f>K282</f>
        <v>#DIV/0!</v>
      </c>
      <c r="L343" s="43" t="e">
        <f>L282</f>
        <v>#DIV/0!</v>
      </c>
      <c r="M343" s="49" t="e">
        <f>M282</f>
        <v>#DIV/0!</v>
      </c>
      <c r="N343" s="103"/>
      <c r="O343" s="21">
        <v>1.6</v>
      </c>
      <c r="P343" s="42" t="e">
        <f>P282</f>
        <v>#DIV/0!</v>
      </c>
      <c r="Q343" s="42" t="e">
        <f>Q282</f>
        <v>#DIV/0!</v>
      </c>
      <c r="R343" s="43" t="e">
        <f>R282</f>
        <v>#DIV/0!</v>
      </c>
      <c r="S343" s="49" t="e">
        <f>S282</f>
        <v>#DIV/0!</v>
      </c>
    </row>
    <row r="344" spans="1:19" x14ac:dyDescent="0.2">
      <c r="A344" s="21"/>
      <c r="B344" s="103"/>
      <c r="C344" s="21">
        <v>1.8</v>
      </c>
      <c r="D344" s="42">
        <f>D288</f>
        <v>50.833999999999996</v>
      </c>
      <c r="E344" s="42">
        <f>E288</f>
        <v>66.923400000000001</v>
      </c>
      <c r="F344" s="43">
        <f>F288</f>
        <v>20.8</v>
      </c>
      <c r="G344" s="49">
        <f>G288</f>
        <v>0.98647600000000002</v>
      </c>
      <c r="H344" s="103"/>
      <c r="I344" s="21">
        <v>1.8</v>
      </c>
      <c r="J344" s="42" t="e">
        <f>J288</f>
        <v>#DIV/0!</v>
      </c>
      <c r="K344" s="42" t="e">
        <f>K288</f>
        <v>#DIV/0!</v>
      </c>
      <c r="L344" s="43" t="e">
        <f>L288</f>
        <v>#DIV/0!</v>
      </c>
      <c r="M344" s="49" t="e">
        <f>M288</f>
        <v>#DIV/0!</v>
      </c>
      <c r="N344" s="103"/>
      <c r="O344" s="21">
        <v>1.8</v>
      </c>
      <c r="P344" s="42" t="e">
        <f>P288</f>
        <v>#DIV/0!</v>
      </c>
      <c r="Q344" s="42" t="e">
        <f>Q288</f>
        <v>#DIV/0!</v>
      </c>
      <c r="R344" s="43" t="e">
        <f>R288</f>
        <v>#DIV/0!</v>
      </c>
      <c r="S344" s="49" t="e">
        <f>S288</f>
        <v>#DIV/0!</v>
      </c>
    </row>
    <row r="345" spans="1:19" x14ac:dyDescent="0.2">
      <c r="A345" s="21"/>
      <c r="B345" s="101"/>
      <c r="C345" s="44">
        <v>2</v>
      </c>
      <c r="D345" s="45">
        <f>D294</f>
        <v>50.071999999999996</v>
      </c>
      <c r="E345" s="45">
        <f>E294</f>
        <v>66.693599999999989</v>
      </c>
      <c r="F345" s="46">
        <f>F294</f>
        <v>1.2</v>
      </c>
      <c r="G345" s="50">
        <f>G294</f>
        <v>0.99895200000000006</v>
      </c>
      <c r="H345" s="101"/>
      <c r="I345" s="44">
        <v>2</v>
      </c>
      <c r="J345" s="45" t="e">
        <f>J294</f>
        <v>#DIV/0!</v>
      </c>
      <c r="K345" s="45" t="e">
        <f>K294</f>
        <v>#DIV/0!</v>
      </c>
      <c r="L345" s="46" t="e">
        <f>L294</f>
        <v>#DIV/0!</v>
      </c>
      <c r="M345" s="50" t="e">
        <f>M294</f>
        <v>#DIV/0!</v>
      </c>
      <c r="N345" s="101"/>
      <c r="O345" s="44">
        <v>2</v>
      </c>
      <c r="P345" s="45" t="e">
        <f>P294</f>
        <v>#DIV/0!</v>
      </c>
      <c r="Q345" s="45" t="e">
        <f>Q294</f>
        <v>#DIV/0!</v>
      </c>
      <c r="R345" s="46" t="e">
        <f>R294</f>
        <v>#DIV/0!</v>
      </c>
      <c r="S345" s="50" t="e">
        <f>S294</f>
        <v>#DIV/0!</v>
      </c>
    </row>
    <row r="346" spans="1:19" x14ac:dyDescent="0.2">
      <c r="A346" s="21"/>
      <c r="B346" s="100">
        <v>16</v>
      </c>
      <c r="C346" s="39">
        <v>1</v>
      </c>
      <c r="D346" s="40">
        <f>D304</f>
        <v>72.2</v>
      </c>
      <c r="E346" s="40">
        <f>E304</f>
        <v>70.469799999999992</v>
      </c>
      <c r="F346" s="43">
        <f>F304</f>
        <v>1344.2</v>
      </c>
      <c r="G346" s="54">
        <f>G304</f>
        <v>0.44195200000000001</v>
      </c>
      <c r="H346" s="100">
        <v>16</v>
      </c>
      <c r="I346" s="39">
        <v>1</v>
      </c>
      <c r="J346" s="40" t="e">
        <f>J304</f>
        <v>#DIV/0!</v>
      </c>
      <c r="K346" s="40" t="e">
        <f>K304</f>
        <v>#DIV/0!</v>
      </c>
      <c r="L346" s="43" t="e">
        <f>L304</f>
        <v>#DIV/0!</v>
      </c>
      <c r="M346" s="54" t="e">
        <f>M304</f>
        <v>#DIV/0!</v>
      </c>
      <c r="N346" s="100">
        <v>16</v>
      </c>
      <c r="O346" s="39">
        <v>1</v>
      </c>
      <c r="P346" s="42" t="e">
        <f>P304</f>
        <v>#DIV/0!</v>
      </c>
      <c r="Q346" s="42" t="e">
        <f>Q304</f>
        <v>#DIV/0!</v>
      </c>
      <c r="R346" s="43" t="e">
        <f>R304</f>
        <v>#DIV/0!</v>
      </c>
      <c r="S346" s="49" t="e">
        <f>S304</f>
        <v>#DIV/0!</v>
      </c>
    </row>
    <row r="347" spans="1:19" x14ac:dyDescent="0.2">
      <c r="A347" s="21"/>
      <c r="B347" s="103"/>
      <c r="C347" s="21">
        <v>1.2</v>
      </c>
      <c r="D347" s="42">
        <f>D310</f>
        <v>71.722000000000008</v>
      </c>
      <c r="E347" s="42">
        <f>E310</f>
        <v>72.222999999999985</v>
      </c>
      <c r="F347" s="43">
        <f>F310</f>
        <v>1058</v>
      </c>
      <c r="G347" s="54">
        <f>G310</f>
        <v>0.51829799999999993</v>
      </c>
      <c r="H347" s="103"/>
      <c r="I347" s="21">
        <v>1.2</v>
      </c>
      <c r="J347" s="42" t="e">
        <f>J310</f>
        <v>#DIV/0!</v>
      </c>
      <c r="K347" s="42" t="e">
        <f>K310</f>
        <v>#DIV/0!</v>
      </c>
      <c r="L347" s="43" t="e">
        <f>L310</f>
        <v>#DIV/0!</v>
      </c>
      <c r="M347" s="54" t="e">
        <f>M310</f>
        <v>#DIV/0!</v>
      </c>
      <c r="N347" s="103"/>
      <c r="O347" s="21">
        <v>1.2</v>
      </c>
      <c r="P347" s="42" t="e">
        <f>P310</f>
        <v>#DIV/0!</v>
      </c>
      <c r="Q347" s="42" t="e">
        <f>Q310</f>
        <v>#DIV/0!</v>
      </c>
      <c r="R347" s="43" t="e">
        <f>R310</f>
        <v>#DIV/0!</v>
      </c>
      <c r="S347" s="49" t="e">
        <f>S310</f>
        <v>#DIV/0!</v>
      </c>
    </row>
    <row r="348" spans="1:19" x14ac:dyDescent="0.2">
      <c r="A348" s="21"/>
      <c r="B348" s="103"/>
      <c r="C348" s="21">
        <v>1.4</v>
      </c>
      <c r="D348" s="42">
        <f>D316</f>
        <v>63.727999999999994</v>
      </c>
      <c r="E348" s="42">
        <f>E316</f>
        <v>71.246200000000002</v>
      </c>
      <c r="F348" s="43">
        <f>F316</f>
        <v>408</v>
      </c>
      <c r="G348" s="54">
        <f>G316</f>
        <v>0.76069799999999987</v>
      </c>
      <c r="H348" s="103"/>
      <c r="I348" s="21">
        <v>1.4</v>
      </c>
      <c r="J348" s="42" t="e">
        <f>J316</f>
        <v>#DIV/0!</v>
      </c>
      <c r="K348" s="42" t="e">
        <f>K316</f>
        <v>#DIV/0!</v>
      </c>
      <c r="L348" s="43" t="e">
        <f>L316</f>
        <v>#DIV/0!</v>
      </c>
      <c r="M348" s="54" t="e">
        <f>M316</f>
        <v>#DIV/0!</v>
      </c>
      <c r="N348" s="103"/>
      <c r="O348" s="21">
        <v>1.4</v>
      </c>
      <c r="P348" s="42" t="e">
        <f>P316</f>
        <v>#DIV/0!</v>
      </c>
      <c r="Q348" s="42" t="e">
        <f>Q316</f>
        <v>#DIV/0!</v>
      </c>
      <c r="R348" s="43" t="e">
        <f>R316</f>
        <v>#DIV/0!</v>
      </c>
      <c r="S348" s="49" t="e">
        <f>S316</f>
        <v>#DIV/0!</v>
      </c>
    </row>
    <row r="349" spans="1:19" x14ac:dyDescent="0.2">
      <c r="A349" s="21"/>
      <c r="B349" s="103"/>
      <c r="C349" s="21">
        <v>1.6</v>
      </c>
      <c r="D349" s="42">
        <f>D322</f>
        <v>53.246000000000002</v>
      </c>
      <c r="E349" s="42">
        <f>E322</f>
        <v>67.704599999999999</v>
      </c>
      <c r="F349" s="43">
        <f>F322</f>
        <v>80</v>
      </c>
      <c r="G349" s="54">
        <f>G322</f>
        <v>0.94752400000000014</v>
      </c>
      <c r="H349" s="103"/>
      <c r="I349" s="21">
        <v>1.6</v>
      </c>
      <c r="J349" s="42" t="e">
        <f>J322</f>
        <v>#DIV/0!</v>
      </c>
      <c r="K349" s="42" t="e">
        <f>K322</f>
        <v>#DIV/0!</v>
      </c>
      <c r="L349" s="43" t="e">
        <f>L322</f>
        <v>#DIV/0!</v>
      </c>
      <c r="M349" s="54" t="e">
        <f>M322</f>
        <v>#DIV/0!</v>
      </c>
      <c r="N349" s="103"/>
      <c r="O349" s="21">
        <v>1.6</v>
      </c>
      <c r="P349" s="42" t="e">
        <f>P322</f>
        <v>#DIV/0!</v>
      </c>
      <c r="Q349" s="42" t="e">
        <f>Q322</f>
        <v>#DIV/0!</v>
      </c>
      <c r="R349" s="43" t="e">
        <f>R322</f>
        <v>#DIV/0!</v>
      </c>
      <c r="S349" s="49" t="e">
        <f>S322</f>
        <v>#DIV/0!</v>
      </c>
    </row>
    <row r="350" spans="1:19" x14ac:dyDescent="0.2">
      <c r="B350" s="103"/>
      <c r="C350" s="21">
        <v>1.8</v>
      </c>
      <c r="D350" s="42">
        <f>D328</f>
        <v>50.196000000000005</v>
      </c>
      <c r="E350" s="42">
        <f>E328</f>
        <v>66.727800000000016</v>
      </c>
      <c r="F350" s="43">
        <f>F328</f>
        <v>4.5999999999999996</v>
      </c>
      <c r="G350" s="54">
        <f>G328</f>
        <v>0.99690200000000007</v>
      </c>
      <c r="H350" s="103"/>
      <c r="I350" s="21">
        <v>1.8</v>
      </c>
      <c r="J350" s="42" t="e">
        <f>J328</f>
        <v>#DIV/0!</v>
      </c>
      <c r="K350" s="42" t="e">
        <f>K328</f>
        <v>#DIV/0!</v>
      </c>
      <c r="L350" s="43" t="e">
        <f>L328</f>
        <v>#DIV/0!</v>
      </c>
      <c r="M350" s="54" t="e">
        <f>M328</f>
        <v>#DIV/0!</v>
      </c>
      <c r="N350" s="103"/>
      <c r="O350" s="21">
        <v>1.8</v>
      </c>
      <c r="P350" s="42" t="e">
        <f>P328</f>
        <v>#DIV/0!</v>
      </c>
      <c r="Q350" s="42" t="e">
        <f>Q328</f>
        <v>#DIV/0!</v>
      </c>
      <c r="R350" s="43" t="e">
        <f>R328</f>
        <v>#DIV/0!</v>
      </c>
      <c r="S350" s="49" t="e">
        <f>S328</f>
        <v>#DIV/0!</v>
      </c>
    </row>
    <row r="351" spans="1:19" x14ac:dyDescent="0.2">
      <c r="B351" s="101"/>
      <c r="C351" s="44">
        <v>2</v>
      </c>
      <c r="D351" s="45">
        <f>D334</f>
        <v>50.013999999999996</v>
      </c>
      <c r="E351" s="45">
        <f>E334</f>
        <v>66.673399999999987</v>
      </c>
      <c r="F351" s="46">
        <f>F334</f>
        <v>0</v>
      </c>
      <c r="G351" s="55">
        <f>G334</f>
        <v>0.99985000000000002</v>
      </c>
      <c r="H351" s="101"/>
      <c r="I351" s="44">
        <v>2</v>
      </c>
      <c r="J351" s="45" t="e">
        <f>J334</f>
        <v>#DIV/0!</v>
      </c>
      <c r="K351" s="45" t="e">
        <f>K334</f>
        <v>#DIV/0!</v>
      </c>
      <c r="L351" s="46" t="e">
        <f>L334</f>
        <v>#DIV/0!</v>
      </c>
      <c r="M351" s="55" t="e">
        <f>M334</f>
        <v>#DIV/0!</v>
      </c>
      <c r="N351" s="101"/>
      <c r="O351" s="44">
        <v>2</v>
      </c>
      <c r="P351" s="45" t="e">
        <f>P334</f>
        <v>#DIV/0!</v>
      </c>
      <c r="Q351" s="45" t="e">
        <f>Q334</f>
        <v>#DIV/0!</v>
      </c>
      <c r="R351" s="46" t="e">
        <f>R334</f>
        <v>#DIV/0!</v>
      </c>
      <c r="S351" s="50" t="e">
        <f>S334</f>
        <v>#DIV/0!</v>
      </c>
    </row>
    <row r="353" spans="1:40" x14ac:dyDescent="0.2">
      <c r="F353" s="1">
        <f>(F340-F342)/F340</f>
        <v>0.61474526704632904</v>
      </c>
      <c r="G353" s="1">
        <f>(F346-F348)/F346</f>
        <v>0.69647373902693055</v>
      </c>
    </row>
    <row r="356" spans="1:40" x14ac:dyDescent="0.2">
      <c r="A356" s="24" t="s">
        <v>29</v>
      </c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1"/>
      <c r="V356" s="1"/>
      <c r="W356" s="1"/>
      <c r="X356" s="1"/>
    </row>
    <row r="357" spans="1:40" x14ac:dyDescent="0.2">
      <c r="A357" s="1"/>
      <c r="B357" s="1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40" x14ac:dyDescent="0.2">
      <c r="A358" s="1"/>
      <c r="B358" s="100" t="s">
        <v>23</v>
      </c>
      <c r="C358" s="107" t="s">
        <v>0</v>
      </c>
      <c r="D358" s="108"/>
      <c r="E358" s="108"/>
      <c r="F358" s="108"/>
      <c r="G358" s="108"/>
      <c r="H358" s="111"/>
      <c r="I358" s="103" t="s">
        <v>30</v>
      </c>
      <c r="J358" s="123"/>
      <c r="K358" s="123"/>
      <c r="L358" s="123"/>
      <c r="M358" s="103" t="s">
        <v>31</v>
      </c>
      <c r="N358" s="123"/>
      <c r="O358" s="123"/>
      <c r="P358" s="123"/>
      <c r="Q358" s="103" t="s">
        <v>32</v>
      </c>
      <c r="R358" s="123"/>
      <c r="S358" s="123"/>
      <c r="T358" s="123"/>
      <c r="U358" s="103" t="s">
        <v>33</v>
      </c>
      <c r="V358" s="123"/>
      <c r="W358" s="123"/>
      <c r="X358" s="123"/>
      <c r="Y358" s="103" t="s">
        <v>34</v>
      </c>
      <c r="Z358" s="123"/>
      <c r="AA358" s="123"/>
      <c r="AB358" s="123"/>
      <c r="AC358" s="103" t="s">
        <v>35</v>
      </c>
      <c r="AD358" s="123"/>
      <c r="AE358" s="123"/>
      <c r="AF358" s="123"/>
      <c r="AG358" s="103" t="s">
        <v>36</v>
      </c>
      <c r="AH358" s="123"/>
      <c r="AI358" s="123"/>
      <c r="AJ358" s="123"/>
    </row>
    <row r="359" spans="1:40" x14ac:dyDescent="0.2">
      <c r="A359" s="1"/>
      <c r="B359" s="101"/>
      <c r="C359" s="19" t="s">
        <v>3</v>
      </c>
      <c r="D359" s="1" t="s">
        <v>4</v>
      </c>
      <c r="E359" s="1" t="s">
        <v>6</v>
      </c>
      <c r="F359" s="2" t="s">
        <v>7</v>
      </c>
      <c r="G359" s="1" t="s">
        <v>24</v>
      </c>
      <c r="H359" s="8" t="s">
        <v>25</v>
      </c>
      <c r="I359" s="1" t="s">
        <v>6</v>
      </c>
      <c r="J359" s="2" t="s">
        <v>7</v>
      </c>
      <c r="K359" s="1" t="s">
        <v>24</v>
      </c>
      <c r="L359" s="8" t="s">
        <v>25</v>
      </c>
      <c r="M359" s="1" t="s">
        <v>6</v>
      </c>
      <c r="N359" s="2" t="s">
        <v>7</v>
      </c>
      <c r="O359" s="1" t="s">
        <v>24</v>
      </c>
      <c r="P359" s="8" t="s">
        <v>25</v>
      </c>
      <c r="Q359" s="1" t="s">
        <v>6</v>
      </c>
      <c r="R359" s="2" t="s">
        <v>7</v>
      </c>
      <c r="S359" s="1" t="s">
        <v>24</v>
      </c>
      <c r="T359" s="8" t="s">
        <v>25</v>
      </c>
      <c r="U359" s="1" t="s">
        <v>6</v>
      </c>
      <c r="V359" s="2" t="s">
        <v>7</v>
      </c>
      <c r="W359" s="1" t="s">
        <v>24</v>
      </c>
      <c r="X359" s="8" t="s">
        <v>25</v>
      </c>
      <c r="Y359" s="1" t="s">
        <v>6</v>
      </c>
      <c r="Z359" s="2" t="s">
        <v>7</v>
      </c>
      <c r="AA359" s="1" t="s">
        <v>24</v>
      </c>
      <c r="AB359" s="8" t="s">
        <v>25</v>
      </c>
      <c r="AC359" s="1" t="s">
        <v>6</v>
      </c>
      <c r="AD359" s="2" t="s">
        <v>7</v>
      </c>
      <c r="AE359" s="1" t="s">
        <v>24</v>
      </c>
      <c r="AF359" s="8" t="s">
        <v>25</v>
      </c>
      <c r="AG359" s="1" t="s">
        <v>6</v>
      </c>
      <c r="AH359" s="2" t="s">
        <v>7</v>
      </c>
      <c r="AI359" s="1" t="s">
        <v>24</v>
      </c>
      <c r="AJ359" s="8" t="s">
        <v>25</v>
      </c>
    </row>
    <row r="360" spans="1:40" x14ac:dyDescent="0.2">
      <c r="A360" s="1"/>
      <c r="B360" s="102">
        <v>1</v>
      </c>
      <c r="C360" s="104">
        <v>8</v>
      </c>
      <c r="D360" s="28">
        <v>13</v>
      </c>
      <c r="E360" s="51">
        <v>71.28</v>
      </c>
      <c r="F360" s="4">
        <v>72.802999999999997</v>
      </c>
      <c r="G360" s="25">
        <v>1017</v>
      </c>
      <c r="H360" s="36">
        <v>0.56989999999999996</v>
      </c>
      <c r="I360" s="25">
        <v>66.649999999999906</v>
      </c>
      <c r="J360" s="1">
        <v>60.151000000000003</v>
      </c>
      <c r="K360" s="25">
        <v>2344</v>
      </c>
      <c r="L360" s="36">
        <v>0.3508</v>
      </c>
      <c r="M360" s="25">
        <v>70.33</v>
      </c>
      <c r="N360" s="1">
        <v>73.69</v>
      </c>
      <c r="O360" s="25">
        <v>706</v>
      </c>
      <c r="P360" s="36">
        <v>0.64159999999999995</v>
      </c>
      <c r="Q360" s="25">
        <v>70.67</v>
      </c>
      <c r="R360" s="1">
        <v>70.870999999999995</v>
      </c>
      <c r="S360" s="25">
        <v>1293</v>
      </c>
      <c r="T360" s="36">
        <v>0.52080000000000004</v>
      </c>
      <c r="U360" s="25">
        <v>71.28</v>
      </c>
      <c r="V360" s="1">
        <v>72.522000000000006</v>
      </c>
      <c r="W360" s="25">
        <v>1071</v>
      </c>
      <c r="X360" s="36">
        <v>0.55910000000000004</v>
      </c>
      <c r="Y360" s="25">
        <v>71.31</v>
      </c>
      <c r="Z360" s="1">
        <v>72.855000000000004</v>
      </c>
      <c r="AA360" s="25">
        <v>1011</v>
      </c>
      <c r="AB360" s="36">
        <v>0.57079999999999997</v>
      </c>
      <c r="AC360" s="25">
        <v>71.31</v>
      </c>
      <c r="AD360" s="1">
        <v>72.823999999999998</v>
      </c>
      <c r="AE360" s="25">
        <v>1017</v>
      </c>
      <c r="AF360" s="36">
        <v>0.5696</v>
      </c>
      <c r="AG360" s="25">
        <v>71.28</v>
      </c>
      <c r="AH360" s="1">
        <v>72.808000000000007</v>
      </c>
      <c r="AI360" s="25">
        <v>1016</v>
      </c>
      <c r="AJ360" s="36">
        <v>0.57010000000000005</v>
      </c>
    </row>
    <row r="361" spans="1:40" x14ac:dyDescent="0.2">
      <c r="A361" s="1"/>
      <c r="B361" s="103"/>
      <c r="C361" s="105"/>
      <c r="D361" s="29">
        <v>21</v>
      </c>
      <c r="E361" s="4">
        <v>71.13</v>
      </c>
      <c r="F361" s="4">
        <v>72.683999999999997</v>
      </c>
      <c r="G361" s="1">
        <v>1020</v>
      </c>
      <c r="H361" s="33">
        <v>0.57079999999999997</v>
      </c>
      <c r="I361" s="4">
        <v>48.68</v>
      </c>
      <c r="J361" s="4">
        <v>65.45</v>
      </c>
      <c r="K361" s="1">
        <v>0</v>
      </c>
      <c r="L361" s="33">
        <v>0.99929999999999997</v>
      </c>
      <c r="M361" s="4">
        <v>70.2</v>
      </c>
      <c r="N361" s="4">
        <v>69.911000000000001</v>
      </c>
      <c r="O361" s="1">
        <v>1399</v>
      </c>
      <c r="P361" s="33">
        <v>0.50429999999999997</v>
      </c>
      <c r="Q361" s="4">
        <v>70.63</v>
      </c>
      <c r="R361" s="4">
        <v>70.808000000000007</v>
      </c>
      <c r="S361" s="1">
        <v>1299</v>
      </c>
      <c r="T361" s="33">
        <v>0.52</v>
      </c>
      <c r="U361" s="4">
        <v>71.180000000000007</v>
      </c>
      <c r="V361" s="4">
        <v>72.641000000000005</v>
      </c>
      <c r="W361" s="1">
        <v>1035</v>
      </c>
      <c r="X361" s="8">
        <v>0.56730000000000003</v>
      </c>
      <c r="Y361" s="4">
        <v>71.17</v>
      </c>
      <c r="Z361" s="4">
        <v>72.676000000000002</v>
      </c>
      <c r="AA361" s="1">
        <v>1027</v>
      </c>
      <c r="AB361" s="33">
        <v>0.56899999999999995</v>
      </c>
      <c r="AC361" s="4">
        <v>71.13</v>
      </c>
      <c r="AD361" s="4">
        <v>72.709999999999994</v>
      </c>
      <c r="AE361" s="1">
        <v>1015</v>
      </c>
      <c r="AF361" s="33">
        <v>0.57179999999999997</v>
      </c>
      <c r="AG361" s="4">
        <v>71.14</v>
      </c>
      <c r="AH361" s="4">
        <v>72.691000000000003</v>
      </c>
      <c r="AI361" s="1">
        <v>1020</v>
      </c>
      <c r="AJ361" s="33">
        <v>0.57069999999999999</v>
      </c>
    </row>
    <row r="362" spans="1:40" x14ac:dyDescent="0.2">
      <c r="A362" s="1"/>
      <c r="B362" s="103"/>
      <c r="C362" s="105"/>
      <c r="D362" s="29">
        <v>47</v>
      </c>
      <c r="E362" s="4">
        <v>71.73</v>
      </c>
      <c r="F362" s="4">
        <v>72.013000000000005</v>
      </c>
      <c r="G362" s="1">
        <v>1224</v>
      </c>
      <c r="H362" s="33">
        <v>0.52400000000000002</v>
      </c>
      <c r="I362" s="4">
        <v>52.79</v>
      </c>
      <c r="J362" s="4">
        <v>5.9</v>
      </c>
      <c r="K362" s="1">
        <v>4713</v>
      </c>
      <c r="L362" s="33">
        <v>1.5599999999999999E-2</v>
      </c>
      <c r="M362" s="4">
        <v>70.319999999999993</v>
      </c>
      <c r="N362" s="4">
        <v>74.2</v>
      </c>
      <c r="O362" s="1">
        <v>593</v>
      </c>
      <c r="P362" s="33">
        <v>0.6643</v>
      </c>
      <c r="Q362" s="4">
        <v>71.89</v>
      </c>
      <c r="R362" s="4">
        <v>72.674000000000007</v>
      </c>
      <c r="S362" s="1">
        <v>1123</v>
      </c>
      <c r="T362" s="33">
        <v>0.54259999999999997</v>
      </c>
      <c r="U362" s="4">
        <v>71.7</v>
      </c>
      <c r="V362" s="4">
        <v>71.626000000000005</v>
      </c>
      <c r="W362" s="1">
        <v>1289</v>
      </c>
      <c r="X362" s="8">
        <v>0.51129999999999998</v>
      </c>
      <c r="Y362" s="4">
        <v>71.67</v>
      </c>
      <c r="Z362" s="4">
        <v>71.875</v>
      </c>
      <c r="AA362" s="1">
        <v>1241</v>
      </c>
      <c r="AB362" s="33">
        <v>0.5212</v>
      </c>
      <c r="AC362" s="4">
        <v>71.709999999999994</v>
      </c>
      <c r="AD362" s="4">
        <v>71.981999999999999</v>
      </c>
      <c r="AE362" s="1">
        <v>1227</v>
      </c>
      <c r="AF362" s="33">
        <v>0.52359999999999995</v>
      </c>
      <c r="AG362" s="4">
        <v>71.73</v>
      </c>
      <c r="AH362" s="4">
        <v>72.013000000000005</v>
      </c>
      <c r="AI362" s="1">
        <v>1224</v>
      </c>
      <c r="AJ362" s="33">
        <v>0.52400000000000002</v>
      </c>
    </row>
    <row r="363" spans="1:40" x14ac:dyDescent="0.2">
      <c r="A363" s="1"/>
      <c r="B363" s="103"/>
      <c r="C363" s="105"/>
      <c r="D363" s="29">
        <v>50</v>
      </c>
      <c r="E363" s="4">
        <v>71.08</v>
      </c>
      <c r="F363" s="4">
        <v>72.53</v>
      </c>
      <c r="G363" s="1">
        <v>1043</v>
      </c>
      <c r="H363" s="33">
        <v>0.56669999999999998</v>
      </c>
      <c r="I363" s="4">
        <v>56.899999999999899</v>
      </c>
      <c r="J363" s="4">
        <v>69.067999999999998</v>
      </c>
      <c r="K363" s="1">
        <v>49</v>
      </c>
      <c r="L363" s="33">
        <v>0.9073</v>
      </c>
      <c r="M363" s="4">
        <v>69.650000000000006</v>
      </c>
      <c r="N363" s="4">
        <v>68.369</v>
      </c>
      <c r="O363" s="1">
        <v>1581</v>
      </c>
      <c r="P363" s="33">
        <v>0.47339999999999999</v>
      </c>
      <c r="Q363" s="4">
        <v>70.92</v>
      </c>
      <c r="R363" s="4">
        <v>72.751000000000005</v>
      </c>
      <c r="S363" s="1">
        <v>979</v>
      </c>
      <c r="T363" s="33">
        <v>0.58109999999999995</v>
      </c>
      <c r="U363" s="4">
        <v>71.099999999999994</v>
      </c>
      <c r="V363" s="4">
        <v>72.802999999999997</v>
      </c>
      <c r="W363" s="1">
        <v>993</v>
      </c>
      <c r="X363" s="8">
        <v>0.57650000000000001</v>
      </c>
      <c r="Y363" s="4">
        <v>70.98</v>
      </c>
      <c r="Z363" s="4">
        <v>72.325000000000003</v>
      </c>
      <c r="AA363" s="1">
        <v>1069</v>
      </c>
      <c r="AB363" s="33">
        <v>0.5625</v>
      </c>
      <c r="AC363" s="4">
        <v>71.069999999999993</v>
      </c>
      <c r="AD363" s="4">
        <v>72.524000000000001</v>
      </c>
      <c r="AE363" s="1">
        <v>1043</v>
      </c>
      <c r="AF363" s="33">
        <v>0.56679999999999997</v>
      </c>
      <c r="AG363" s="4">
        <v>71.069999999999993</v>
      </c>
      <c r="AH363" s="4">
        <v>72.524000000000001</v>
      </c>
      <c r="AI363" s="1">
        <v>1043</v>
      </c>
      <c r="AJ363" s="33">
        <v>0.56679999999999997</v>
      </c>
    </row>
    <row r="364" spans="1:40" x14ac:dyDescent="0.2">
      <c r="A364" s="1"/>
      <c r="B364" s="103"/>
      <c r="C364" s="105"/>
      <c r="D364" s="30">
        <v>91</v>
      </c>
      <c r="E364" s="27">
        <v>68.42</v>
      </c>
      <c r="F364" s="27">
        <v>70.629000000000005</v>
      </c>
      <c r="G364" s="26">
        <v>1064</v>
      </c>
      <c r="H364" s="52">
        <v>0.58909999999999996</v>
      </c>
      <c r="I364" s="27">
        <v>68.789999999999907</v>
      </c>
      <c r="J364" s="27">
        <v>70.813000000000002</v>
      </c>
      <c r="K364" s="26">
        <v>1075</v>
      </c>
      <c r="L364" s="52">
        <v>0.58320000000000005</v>
      </c>
      <c r="M364" s="27">
        <v>68.36</v>
      </c>
      <c r="N364" s="27">
        <v>70.988</v>
      </c>
      <c r="O364" s="26">
        <v>990</v>
      </c>
      <c r="P364" s="52">
        <v>0.60450000000000004</v>
      </c>
      <c r="Q364" s="27">
        <v>68.540000000000006</v>
      </c>
      <c r="R364" s="27">
        <v>71.405000000000001</v>
      </c>
      <c r="S364" s="26">
        <v>933</v>
      </c>
      <c r="T364" s="52">
        <v>0.61409999999999998</v>
      </c>
      <c r="U364" s="27">
        <v>68.33</v>
      </c>
      <c r="V364" s="27">
        <v>70.459999999999994</v>
      </c>
      <c r="W364" s="26">
        <v>1084</v>
      </c>
      <c r="X364" s="32">
        <v>0.58599999999999997</v>
      </c>
      <c r="Y364" s="27">
        <v>68.400000000000006</v>
      </c>
      <c r="Z364" s="27">
        <v>70.587999999999994</v>
      </c>
      <c r="AA364" s="26">
        <v>1069</v>
      </c>
      <c r="AB364" s="52">
        <v>0.58830000000000005</v>
      </c>
      <c r="AC364" s="27">
        <v>68.42</v>
      </c>
      <c r="AD364" s="27">
        <v>70.623000000000005</v>
      </c>
      <c r="AE364" s="26">
        <v>1065</v>
      </c>
      <c r="AF364" s="52">
        <v>0.58889999999999998</v>
      </c>
      <c r="AG364" s="27">
        <v>68.42</v>
      </c>
      <c r="AH364" s="27">
        <v>70.629000000000005</v>
      </c>
      <c r="AI364" s="26">
        <v>1064</v>
      </c>
      <c r="AJ364" s="52">
        <v>0.58909999999999996</v>
      </c>
    </row>
    <row r="365" spans="1:40" x14ac:dyDescent="0.2">
      <c r="A365" s="1"/>
      <c r="B365" s="101"/>
      <c r="C365" s="105"/>
      <c r="D365" s="6" t="s">
        <v>8</v>
      </c>
      <c r="E365" s="7">
        <f t="shared" ref="E365:AJ365" si="18">AVERAGE(E360:E364)</f>
        <v>70.727999999999994</v>
      </c>
      <c r="F365" s="7">
        <f t="shared" si="18"/>
        <v>72.131799999999998</v>
      </c>
      <c r="G365" s="35">
        <f t="shared" si="18"/>
        <v>1073.5999999999999</v>
      </c>
      <c r="H365" s="34">
        <f t="shared" si="18"/>
        <v>0.56410000000000005</v>
      </c>
      <c r="I365" s="7">
        <f t="shared" si="18"/>
        <v>58.761999999999944</v>
      </c>
      <c r="J365" s="7">
        <f t="shared" si="18"/>
        <v>54.276400000000002</v>
      </c>
      <c r="K365" s="35">
        <f t="shared" si="18"/>
        <v>1636.2</v>
      </c>
      <c r="L365" s="34">
        <f t="shared" si="18"/>
        <v>0.57123999999999997</v>
      </c>
      <c r="M365" s="7">
        <f t="shared" si="18"/>
        <v>69.772000000000006</v>
      </c>
      <c r="N365" s="7">
        <f t="shared" si="18"/>
        <v>71.431599999999989</v>
      </c>
      <c r="O365" s="35">
        <f t="shared" si="18"/>
        <v>1053.8</v>
      </c>
      <c r="P365" s="34">
        <f t="shared" si="18"/>
        <v>0.57761999999999991</v>
      </c>
      <c r="Q365" s="7">
        <f t="shared" si="18"/>
        <v>70.53</v>
      </c>
      <c r="R365" s="7">
        <f t="shared" si="18"/>
        <v>71.701800000000006</v>
      </c>
      <c r="S365" s="35">
        <f t="shared" si="18"/>
        <v>1125.4000000000001</v>
      </c>
      <c r="T365" s="34">
        <f t="shared" si="18"/>
        <v>0.55571999999999999</v>
      </c>
      <c r="U365" s="7">
        <f t="shared" si="18"/>
        <v>70.717999999999989</v>
      </c>
      <c r="V365" s="7">
        <f t="shared" si="18"/>
        <v>72.01039999999999</v>
      </c>
      <c r="W365" s="35">
        <f t="shared" si="18"/>
        <v>1094.4000000000001</v>
      </c>
      <c r="X365" s="34">
        <f t="shared" si="18"/>
        <v>0.56003999999999998</v>
      </c>
      <c r="Y365" s="7">
        <f t="shared" si="18"/>
        <v>70.706000000000017</v>
      </c>
      <c r="Z365" s="7">
        <f t="shared" si="18"/>
        <v>72.063799999999986</v>
      </c>
      <c r="AA365" s="35">
        <f t="shared" si="18"/>
        <v>1083.4000000000001</v>
      </c>
      <c r="AB365" s="34">
        <f t="shared" si="18"/>
        <v>0.56235999999999997</v>
      </c>
      <c r="AC365" s="7">
        <f t="shared" si="18"/>
        <v>70.727999999999994</v>
      </c>
      <c r="AD365" s="7">
        <f t="shared" si="18"/>
        <v>72.132599999999996</v>
      </c>
      <c r="AE365" s="35">
        <f t="shared" si="18"/>
        <v>1073.4000000000001</v>
      </c>
      <c r="AF365" s="34">
        <f t="shared" si="18"/>
        <v>0.56413999999999986</v>
      </c>
      <c r="AG365" s="7">
        <f t="shared" si="18"/>
        <v>70.728000000000009</v>
      </c>
      <c r="AH365" s="7">
        <f t="shared" si="18"/>
        <v>72.13300000000001</v>
      </c>
      <c r="AI365" s="35">
        <f t="shared" si="18"/>
        <v>1073.4000000000001</v>
      </c>
      <c r="AJ365" s="34">
        <f t="shared" si="18"/>
        <v>0.56414000000000009</v>
      </c>
      <c r="AM365" s="1">
        <f>(E365-Q365)*100/E365</f>
        <v>0.27994570749914222</v>
      </c>
      <c r="AN365" s="1">
        <f>(E365-U365)*100/E365</f>
        <v>1.4138672095923985E-2</v>
      </c>
    </row>
    <row r="366" spans="1:40" x14ac:dyDescent="0.2">
      <c r="A366" s="1"/>
      <c r="B366" s="104">
        <v>1.2</v>
      </c>
      <c r="C366" s="105"/>
      <c r="D366" s="28">
        <v>13</v>
      </c>
      <c r="E366" s="25">
        <v>71.08</v>
      </c>
      <c r="F366" s="25">
        <v>72.058000000000007</v>
      </c>
      <c r="G366" s="25">
        <v>1132</v>
      </c>
      <c r="H366" s="36">
        <v>0.54890000000000005</v>
      </c>
      <c r="I366" s="25">
        <v>67.7</v>
      </c>
      <c r="J366" s="1">
        <v>63.942999999999998</v>
      </c>
      <c r="K366" s="25">
        <v>1997</v>
      </c>
      <c r="L366" s="36">
        <v>0.40970000000000001</v>
      </c>
      <c r="M366" s="25">
        <v>70.959999999999994</v>
      </c>
      <c r="N366" s="1">
        <v>72.84</v>
      </c>
      <c r="O366" s="25">
        <v>967</v>
      </c>
      <c r="P366" s="36">
        <v>0.58309999999999995</v>
      </c>
      <c r="Q366" s="25">
        <v>71.040000000000006</v>
      </c>
      <c r="R366" s="1">
        <v>71.911000000000001</v>
      </c>
      <c r="S366" s="25">
        <v>1154</v>
      </c>
      <c r="T366" s="36">
        <v>0.54490000000000005</v>
      </c>
      <c r="U366" s="25">
        <v>71.05</v>
      </c>
      <c r="V366" s="1">
        <v>72.102000000000004</v>
      </c>
      <c r="W366" s="25">
        <v>1120</v>
      </c>
      <c r="X366" s="36">
        <v>0.55159999999999998</v>
      </c>
      <c r="Y366" s="25">
        <v>71.02</v>
      </c>
      <c r="Z366" s="1">
        <v>72.043000000000006</v>
      </c>
      <c r="AA366" s="25">
        <v>1127</v>
      </c>
      <c r="AB366" s="36">
        <v>0.55049999999999999</v>
      </c>
      <c r="AC366" s="25">
        <v>71.069999999999993</v>
      </c>
      <c r="AD366" s="1">
        <v>72.046000000000006</v>
      </c>
      <c r="AE366" s="25">
        <v>1133</v>
      </c>
      <c r="AF366" s="36">
        <v>0.54879999999999995</v>
      </c>
      <c r="AG366" s="25">
        <v>71.08</v>
      </c>
      <c r="AH366" s="1">
        <v>72.058000000000007</v>
      </c>
      <c r="AI366" s="25">
        <v>1132</v>
      </c>
      <c r="AJ366" s="36">
        <v>0.54890000000000005</v>
      </c>
    </row>
    <row r="367" spans="1:40" x14ac:dyDescent="0.2">
      <c r="A367" s="1"/>
      <c r="B367" s="105"/>
      <c r="C367" s="105"/>
      <c r="D367" s="29">
        <v>21</v>
      </c>
      <c r="E367" s="4">
        <v>70.959999999999994</v>
      </c>
      <c r="F367" s="4">
        <v>72.022999999999996</v>
      </c>
      <c r="G367" s="1">
        <v>1123</v>
      </c>
      <c r="H367" s="33">
        <v>0.55189999999999995</v>
      </c>
      <c r="I367" s="4">
        <v>66.84</v>
      </c>
      <c r="J367" s="4">
        <v>61.735999999999997</v>
      </c>
      <c r="K367" s="1">
        <v>2186</v>
      </c>
      <c r="L367" s="33">
        <v>0.3805</v>
      </c>
      <c r="M367" s="4">
        <v>71.05</v>
      </c>
      <c r="N367" s="4">
        <v>70.947999999999993</v>
      </c>
      <c r="O367" s="1">
        <v>1326</v>
      </c>
      <c r="P367" s="33">
        <v>0.51039999999999996</v>
      </c>
      <c r="Q367" s="4">
        <v>71.09</v>
      </c>
      <c r="R367" s="4">
        <v>71.632000000000005</v>
      </c>
      <c r="S367" s="1">
        <v>1211</v>
      </c>
      <c r="T367" s="33">
        <v>0.53300000000000003</v>
      </c>
      <c r="U367" s="4">
        <v>70.739999999999995</v>
      </c>
      <c r="V367" s="4">
        <v>72.302000000000007</v>
      </c>
      <c r="W367" s="1">
        <v>1042</v>
      </c>
      <c r="X367" s="8">
        <v>0.57030000000000003</v>
      </c>
      <c r="Y367" s="4">
        <v>70.97</v>
      </c>
      <c r="Z367" s="4">
        <v>72.046000000000006</v>
      </c>
      <c r="AA367" s="1">
        <v>1120</v>
      </c>
      <c r="AB367" s="33">
        <v>0.5524</v>
      </c>
      <c r="AC367" s="4">
        <v>71</v>
      </c>
      <c r="AD367" s="4">
        <v>72.082999999999998</v>
      </c>
      <c r="AE367" s="1">
        <v>1117</v>
      </c>
      <c r="AF367" s="33">
        <v>0.55269999999999997</v>
      </c>
      <c r="AG367" s="4">
        <v>70.959999999999994</v>
      </c>
      <c r="AH367" s="4">
        <v>72.022999999999996</v>
      </c>
      <c r="AI367" s="1">
        <v>1123</v>
      </c>
      <c r="AJ367" s="33">
        <v>0.55189999999999995</v>
      </c>
    </row>
    <row r="368" spans="1:40" x14ac:dyDescent="0.2">
      <c r="A368" s="1"/>
      <c r="B368" s="105"/>
      <c r="C368" s="105"/>
      <c r="D368" s="29">
        <v>47</v>
      </c>
      <c r="E368" s="4">
        <v>70.959999999999994</v>
      </c>
      <c r="F368" s="4">
        <v>71.412000000000006</v>
      </c>
      <c r="G368" s="1">
        <v>1234</v>
      </c>
      <c r="H368" s="33">
        <v>0.52969999999999995</v>
      </c>
      <c r="I368" s="4">
        <v>70.08</v>
      </c>
      <c r="J368" s="4">
        <v>74.171000000000006</v>
      </c>
      <c r="K368" s="1">
        <v>565</v>
      </c>
      <c r="L368" s="33">
        <v>0.67230000000000001</v>
      </c>
      <c r="M368" s="4">
        <v>70.73</v>
      </c>
      <c r="N368" s="4">
        <v>69.759</v>
      </c>
      <c r="O368" s="1">
        <v>1485</v>
      </c>
      <c r="P368" s="33">
        <v>0.48180000000000001</v>
      </c>
      <c r="Q368" s="4">
        <v>70.95</v>
      </c>
      <c r="R368" s="4">
        <v>71.555999999999997</v>
      </c>
      <c r="S368" s="1">
        <v>1207</v>
      </c>
      <c r="T368" s="33">
        <v>0.53520000000000001</v>
      </c>
      <c r="U368" s="4">
        <v>70.97</v>
      </c>
      <c r="V368" s="4">
        <v>71.802000000000007</v>
      </c>
      <c r="W368" s="1">
        <v>1165</v>
      </c>
      <c r="X368" s="8">
        <v>0.54339999999999999</v>
      </c>
      <c r="Y368" s="4">
        <v>70.97</v>
      </c>
      <c r="Z368" s="4">
        <v>71.344999999999999</v>
      </c>
      <c r="AA368" s="1">
        <v>1247</v>
      </c>
      <c r="AB368" s="33">
        <v>0.52700000000000002</v>
      </c>
      <c r="AC368" s="4">
        <v>70.959999999999994</v>
      </c>
      <c r="AD368" s="4">
        <v>71.400000000000006</v>
      </c>
      <c r="AE368" s="1">
        <v>1236</v>
      </c>
      <c r="AF368" s="33">
        <v>0.52929999999999999</v>
      </c>
      <c r="AG368" s="4">
        <v>70.959999999999994</v>
      </c>
      <c r="AH368" s="4">
        <v>71.412000000000006</v>
      </c>
      <c r="AI368" s="1">
        <v>1234</v>
      </c>
      <c r="AJ368" s="33">
        <v>0.52969999999999995</v>
      </c>
    </row>
    <row r="369" spans="1:40" x14ac:dyDescent="0.2">
      <c r="A369" s="1"/>
      <c r="B369" s="105"/>
      <c r="C369" s="105"/>
      <c r="D369" s="29">
        <v>50</v>
      </c>
      <c r="E369" s="4">
        <v>70.680000000000007</v>
      </c>
      <c r="F369" s="4">
        <v>73.489999999999995</v>
      </c>
      <c r="G369" s="1">
        <v>797</v>
      </c>
      <c r="H369" s="33">
        <v>0.61990000000000001</v>
      </c>
      <c r="I369" s="4">
        <v>60.42</v>
      </c>
      <c r="J369" s="4">
        <v>36.933999999999997</v>
      </c>
      <c r="K369" s="1">
        <v>3702</v>
      </c>
      <c r="L369" s="33">
        <v>0.14149999999999999</v>
      </c>
      <c r="M369" s="4">
        <v>69.89</v>
      </c>
      <c r="N369" s="4">
        <v>68.917000000000002</v>
      </c>
      <c r="O369" s="1">
        <v>1523</v>
      </c>
      <c r="P369" s="33">
        <v>0.48259999999999997</v>
      </c>
      <c r="Q369" s="4">
        <v>70.19</v>
      </c>
      <c r="R369" s="4">
        <v>73.653999999999996</v>
      </c>
      <c r="S369" s="1">
        <v>694</v>
      </c>
      <c r="T369" s="33">
        <v>0.64539999999999997</v>
      </c>
      <c r="U369" s="4">
        <v>70.5</v>
      </c>
      <c r="V369" s="4">
        <v>73.418999999999997</v>
      </c>
      <c r="W369" s="1">
        <v>787</v>
      </c>
      <c r="X369" s="8">
        <v>0.62370000000000003</v>
      </c>
      <c r="Y369" s="4">
        <v>70.62</v>
      </c>
      <c r="Z369" s="4">
        <v>73.417000000000002</v>
      </c>
      <c r="AA369" s="1">
        <v>804</v>
      </c>
      <c r="AB369" s="33">
        <v>0.61909999999999998</v>
      </c>
      <c r="AC369" s="4">
        <v>70.650000000000006</v>
      </c>
      <c r="AD369" s="4">
        <v>73.450999999999993</v>
      </c>
      <c r="AE369" s="1">
        <v>801</v>
      </c>
      <c r="AF369" s="33">
        <v>0.61939999999999995</v>
      </c>
      <c r="AG369" s="4">
        <v>70.67</v>
      </c>
      <c r="AH369" s="4">
        <v>73.483000000000004</v>
      </c>
      <c r="AI369" s="1">
        <v>797</v>
      </c>
      <c r="AJ369" s="33">
        <v>0.62</v>
      </c>
    </row>
    <row r="370" spans="1:40" x14ac:dyDescent="0.2">
      <c r="A370" s="1"/>
      <c r="B370" s="105"/>
      <c r="C370" s="105"/>
      <c r="D370" s="30">
        <v>91</v>
      </c>
      <c r="E370" s="27">
        <v>69.25</v>
      </c>
      <c r="F370" s="27">
        <v>71.031999999999996</v>
      </c>
      <c r="G370" s="26">
        <v>1091</v>
      </c>
      <c r="H370" s="52">
        <v>0.57540000000000002</v>
      </c>
      <c r="I370" s="27">
        <v>67.739999999999995</v>
      </c>
      <c r="J370" s="27">
        <v>73.031000000000006</v>
      </c>
      <c r="K370" s="26">
        <v>493</v>
      </c>
      <c r="L370" s="52">
        <v>0.71009999999999995</v>
      </c>
      <c r="M370" s="27">
        <v>69.33</v>
      </c>
      <c r="N370" s="27">
        <v>70.814999999999998</v>
      </c>
      <c r="O370" s="26">
        <v>1140</v>
      </c>
      <c r="P370" s="52">
        <v>0.56479999999999997</v>
      </c>
      <c r="Q370" s="27">
        <v>68.58</v>
      </c>
      <c r="R370" s="27">
        <v>71.835999999999999</v>
      </c>
      <c r="S370" s="26">
        <v>854</v>
      </c>
      <c r="T370" s="52">
        <v>0.62949999999999995</v>
      </c>
      <c r="U370" s="27">
        <v>69.28</v>
      </c>
      <c r="V370" s="27">
        <v>70.936999999999998</v>
      </c>
      <c r="W370" s="26">
        <v>1112</v>
      </c>
      <c r="X370" s="32">
        <v>0.57089999999999996</v>
      </c>
      <c r="Y370" s="27">
        <v>69.28</v>
      </c>
      <c r="Z370" s="27">
        <v>71.052000000000007</v>
      </c>
      <c r="AA370" s="26">
        <v>1091</v>
      </c>
      <c r="AB370" s="52">
        <v>0.57509999999999994</v>
      </c>
      <c r="AC370" s="27">
        <v>69.28</v>
      </c>
      <c r="AD370" s="27">
        <v>71.052000000000007</v>
      </c>
      <c r="AE370" s="26">
        <v>1091</v>
      </c>
      <c r="AF370" s="52">
        <v>0.57509999999999994</v>
      </c>
      <c r="AG370" s="27">
        <v>69.25</v>
      </c>
      <c r="AH370" s="27">
        <v>71.031999999999996</v>
      </c>
      <c r="AI370" s="26">
        <v>1091</v>
      </c>
      <c r="AJ370" s="52">
        <v>0.57540000000000002</v>
      </c>
    </row>
    <row r="371" spans="1:40" x14ac:dyDescent="0.2">
      <c r="A371" s="1"/>
      <c r="B371" s="106"/>
      <c r="C371" s="105"/>
      <c r="D371" s="6" t="s">
        <v>8</v>
      </c>
      <c r="E371" s="7">
        <f t="shared" ref="E371:AJ371" si="19">AVERAGE(E366:E370)</f>
        <v>70.585999999999999</v>
      </c>
      <c r="F371" s="7">
        <f t="shared" si="19"/>
        <v>72.003</v>
      </c>
      <c r="G371" s="35">
        <f t="shared" si="19"/>
        <v>1075.4000000000001</v>
      </c>
      <c r="H371" s="34">
        <f t="shared" si="19"/>
        <v>0.56516</v>
      </c>
      <c r="I371" s="7">
        <f t="shared" si="19"/>
        <v>66.556000000000012</v>
      </c>
      <c r="J371" s="7">
        <f t="shared" si="19"/>
        <v>61.963000000000008</v>
      </c>
      <c r="K371" s="35">
        <f t="shared" si="19"/>
        <v>1788.6</v>
      </c>
      <c r="L371" s="34">
        <f t="shared" si="19"/>
        <v>0.46281999999999995</v>
      </c>
      <c r="M371" s="7">
        <f t="shared" si="19"/>
        <v>70.391999999999996</v>
      </c>
      <c r="N371" s="7">
        <f t="shared" si="19"/>
        <v>70.655800000000013</v>
      </c>
      <c r="O371" s="35">
        <f t="shared" si="19"/>
        <v>1288.2</v>
      </c>
      <c r="P371" s="34">
        <f t="shared" si="19"/>
        <v>0.52454000000000001</v>
      </c>
      <c r="Q371" s="7">
        <f t="shared" si="19"/>
        <v>70.36999999999999</v>
      </c>
      <c r="R371" s="7">
        <f t="shared" si="19"/>
        <v>72.117800000000003</v>
      </c>
      <c r="S371" s="35">
        <f t="shared" si="19"/>
        <v>1024</v>
      </c>
      <c r="T371" s="34">
        <f t="shared" si="19"/>
        <v>0.5776</v>
      </c>
      <c r="U371" s="7">
        <f t="shared" si="19"/>
        <v>70.507999999999996</v>
      </c>
      <c r="V371" s="7">
        <f t="shared" si="19"/>
        <v>72.112400000000008</v>
      </c>
      <c r="W371" s="35">
        <f t="shared" si="19"/>
        <v>1045.2</v>
      </c>
      <c r="X371" s="34">
        <f t="shared" si="19"/>
        <v>0.57198000000000004</v>
      </c>
      <c r="Y371" s="7">
        <f t="shared" si="19"/>
        <v>70.572000000000003</v>
      </c>
      <c r="Z371" s="7">
        <f t="shared" si="19"/>
        <v>71.98060000000001</v>
      </c>
      <c r="AA371" s="35">
        <f t="shared" si="19"/>
        <v>1077.8</v>
      </c>
      <c r="AB371" s="34">
        <f t="shared" si="19"/>
        <v>0.56481999999999999</v>
      </c>
      <c r="AC371" s="7">
        <f t="shared" si="19"/>
        <v>70.591999999999985</v>
      </c>
      <c r="AD371" s="7">
        <f t="shared" si="19"/>
        <v>72.006400000000014</v>
      </c>
      <c r="AE371" s="35">
        <f t="shared" si="19"/>
        <v>1075.5999999999999</v>
      </c>
      <c r="AF371" s="34">
        <f t="shared" si="19"/>
        <v>0.5650599999999999</v>
      </c>
      <c r="AG371" s="7">
        <f t="shared" si="19"/>
        <v>70.584000000000003</v>
      </c>
      <c r="AH371" s="7">
        <f t="shared" si="19"/>
        <v>72.001599999999996</v>
      </c>
      <c r="AI371" s="35">
        <f t="shared" si="19"/>
        <v>1075.4000000000001</v>
      </c>
      <c r="AJ371" s="34">
        <f t="shared" si="19"/>
        <v>0.56518000000000002</v>
      </c>
      <c r="AM371" s="1">
        <f>(E371-Q371)*100/E371</f>
        <v>0.30600969030687131</v>
      </c>
      <c r="AN371" s="1">
        <f>(E371-U371)*100/E371</f>
        <v>0.11050349927748131</v>
      </c>
    </row>
    <row r="372" spans="1:40" x14ac:dyDescent="0.2">
      <c r="A372" s="1"/>
      <c r="B372" s="104">
        <v>1.4</v>
      </c>
      <c r="C372" s="105"/>
      <c r="D372" s="28">
        <v>13</v>
      </c>
      <c r="E372" s="25">
        <v>66.84</v>
      </c>
      <c r="F372" s="51">
        <v>73.192999999999998</v>
      </c>
      <c r="G372" s="25">
        <v>334</v>
      </c>
      <c r="H372" s="36">
        <v>0.75090000000000001</v>
      </c>
      <c r="I372" s="25">
        <v>67.05</v>
      </c>
      <c r="J372" s="1">
        <v>73.292000000000002</v>
      </c>
      <c r="K372" s="25">
        <v>340</v>
      </c>
      <c r="L372" s="36">
        <v>0.74760000000000004</v>
      </c>
      <c r="M372" s="25">
        <v>59.12</v>
      </c>
      <c r="N372" s="1">
        <v>70.103999999999999</v>
      </c>
      <c r="O372" s="25">
        <v>68</v>
      </c>
      <c r="P372" s="36">
        <v>0.88129999999999997</v>
      </c>
      <c r="Q372" s="25">
        <v>67.23</v>
      </c>
      <c r="R372" s="1">
        <v>73.247</v>
      </c>
      <c r="S372" s="25">
        <v>375</v>
      </c>
      <c r="T372" s="36">
        <v>0.73880000000000001</v>
      </c>
      <c r="U372" s="25">
        <v>66.790000000000006</v>
      </c>
      <c r="V372" s="1">
        <v>73.22</v>
      </c>
      <c r="W372" s="25">
        <v>321</v>
      </c>
      <c r="X372" s="36">
        <v>0.754</v>
      </c>
      <c r="Y372" s="25">
        <v>66.77</v>
      </c>
      <c r="Z372" s="1">
        <v>73.191000000000003</v>
      </c>
      <c r="AA372" s="25">
        <v>325</v>
      </c>
      <c r="AB372" s="36">
        <v>0.75339999999999996</v>
      </c>
      <c r="AC372" s="25">
        <v>66.819999999999993</v>
      </c>
      <c r="AD372" s="1">
        <v>73.180999999999997</v>
      </c>
      <c r="AE372" s="25">
        <v>334</v>
      </c>
      <c r="AF372" s="36">
        <v>0.75109999999999999</v>
      </c>
      <c r="AG372" s="25">
        <v>66.83</v>
      </c>
      <c r="AH372" s="1">
        <v>73.186999999999998</v>
      </c>
      <c r="AI372" s="25">
        <v>334</v>
      </c>
      <c r="AJ372" s="36">
        <v>0.751</v>
      </c>
    </row>
    <row r="373" spans="1:40" x14ac:dyDescent="0.2">
      <c r="A373" s="1"/>
      <c r="B373" s="105"/>
      <c r="C373" s="105"/>
      <c r="D373" s="29">
        <v>21</v>
      </c>
      <c r="E373" s="4">
        <v>67.91</v>
      </c>
      <c r="F373" s="4">
        <v>73.507999999999996</v>
      </c>
      <c r="G373" s="1">
        <v>409</v>
      </c>
      <c r="H373" s="33">
        <v>0.72519999999999996</v>
      </c>
      <c r="I373" s="4">
        <v>49.9</v>
      </c>
      <c r="J373" s="4">
        <v>65.992000000000004</v>
      </c>
      <c r="K373" s="1">
        <v>0</v>
      </c>
      <c r="L373" s="33">
        <v>0.98709999999999998</v>
      </c>
      <c r="M373" s="4">
        <v>70.36</v>
      </c>
      <c r="N373" s="4">
        <v>70.716999999999999</v>
      </c>
      <c r="O373" s="1">
        <v>1282</v>
      </c>
      <c r="P373" s="33">
        <v>0.52610000000000001</v>
      </c>
      <c r="Q373" s="4">
        <v>67.94</v>
      </c>
      <c r="R373" s="4">
        <v>73.442999999999998</v>
      </c>
      <c r="S373" s="1">
        <v>428</v>
      </c>
      <c r="T373" s="33">
        <v>0.72109999999999996</v>
      </c>
      <c r="U373" s="4">
        <v>68.12</v>
      </c>
      <c r="V373" s="4">
        <v>73.397999999999996</v>
      </c>
      <c r="W373" s="1">
        <v>463</v>
      </c>
      <c r="X373" s="8">
        <v>0.71230000000000004</v>
      </c>
      <c r="Y373" s="4">
        <v>67.900000000000006</v>
      </c>
      <c r="Z373" s="4">
        <v>73.524000000000001</v>
      </c>
      <c r="AA373" s="1">
        <v>404</v>
      </c>
      <c r="AB373" s="33">
        <v>0.72629999999999995</v>
      </c>
      <c r="AC373" s="4">
        <v>67.89</v>
      </c>
      <c r="AD373" s="4">
        <v>73.495999999999995</v>
      </c>
      <c r="AE373" s="1">
        <v>409</v>
      </c>
      <c r="AF373" s="33">
        <v>0.72540000000000004</v>
      </c>
      <c r="AG373" s="4">
        <v>67.91</v>
      </c>
      <c r="AH373" s="4">
        <v>73.507999999999996</v>
      </c>
      <c r="AI373" s="1">
        <v>409</v>
      </c>
      <c r="AJ373" s="33">
        <v>0.72519999999999996</v>
      </c>
    </row>
    <row r="374" spans="1:40" x14ac:dyDescent="0.2">
      <c r="A374" s="1"/>
      <c r="B374" s="105"/>
      <c r="C374" s="105"/>
      <c r="D374" s="29">
        <v>47</v>
      </c>
      <c r="E374" s="4">
        <v>68.23</v>
      </c>
      <c r="F374" s="4">
        <v>73.483000000000004</v>
      </c>
      <c r="G374" s="1">
        <v>459</v>
      </c>
      <c r="H374" s="33">
        <v>0.71199999999999997</v>
      </c>
      <c r="I374" s="4">
        <v>49.45</v>
      </c>
      <c r="J374" s="4">
        <v>65.790999999999997</v>
      </c>
      <c r="K374" s="1">
        <v>0</v>
      </c>
      <c r="L374" s="33">
        <v>0.99160000000000004</v>
      </c>
      <c r="M374" s="4">
        <v>62.61</v>
      </c>
      <c r="N374" s="4">
        <v>71.59</v>
      </c>
      <c r="O374" s="1">
        <v>150</v>
      </c>
      <c r="P374" s="33">
        <v>0.83</v>
      </c>
      <c r="Q374" s="4">
        <v>69.34</v>
      </c>
      <c r="R374" s="4">
        <v>73.459000000000003</v>
      </c>
      <c r="S374" s="1">
        <v>618</v>
      </c>
      <c r="T374" s="33">
        <v>0.66910000000000003</v>
      </c>
      <c r="U374" s="4">
        <v>68.61</v>
      </c>
      <c r="V374" s="4">
        <v>73.486000000000004</v>
      </c>
      <c r="W374" s="1">
        <v>511</v>
      </c>
      <c r="X374" s="8">
        <v>0.69779999999999998</v>
      </c>
      <c r="Y374" s="4">
        <v>68.19</v>
      </c>
      <c r="Z374" s="4">
        <v>73.462999999999994</v>
      </c>
      <c r="AA374" s="1">
        <v>458</v>
      </c>
      <c r="AB374" s="33">
        <v>0.71260000000000001</v>
      </c>
      <c r="AC374" s="4">
        <v>68.19</v>
      </c>
      <c r="AD374" s="4">
        <v>73.457999999999998</v>
      </c>
      <c r="AE374" s="1">
        <v>459</v>
      </c>
      <c r="AF374" s="33">
        <v>0.71240000000000003</v>
      </c>
      <c r="AG374" s="4">
        <v>68.22</v>
      </c>
      <c r="AH374" s="4">
        <v>73.471999999999994</v>
      </c>
      <c r="AI374" s="1">
        <v>460</v>
      </c>
      <c r="AJ374" s="33">
        <v>0.71189999999999998</v>
      </c>
    </row>
    <row r="375" spans="1:40" x14ac:dyDescent="0.2">
      <c r="A375" s="1"/>
      <c r="B375" s="105"/>
      <c r="C375" s="105"/>
      <c r="D375" s="29">
        <v>50</v>
      </c>
      <c r="E375" s="4">
        <v>67.91</v>
      </c>
      <c r="F375" s="4">
        <v>73.171000000000006</v>
      </c>
      <c r="G375" s="1">
        <v>485</v>
      </c>
      <c r="H375" s="33">
        <v>0.71</v>
      </c>
      <c r="I375" s="4">
        <v>51.65</v>
      </c>
      <c r="J375" s="4">
        <v>66.766999999999996</v>
      </c>
      <c r="K375" s="1">
        <v>4</v>
      </c>
      <c r="L375" s="33">
        <v>0.96879999999999999</v>
      </c>
      <c r="M375" s="4">
        <v>68.599999999999994</v>
      </c>
      <c r="N375" s="4">
        <v>69.087999999999994</v>
      </c>
      <c r="O375" s="1">
        <v>1352</v>
      </c>
      <c r="P375" s="33">
        <v>0.52969999999999995</v>
      </c>
      <c r="Q375" s="4">
        <v>67.319999999999993</v>
      </c>
      <c r="R375" s="4">
        <v>73.040999999999997</v>
      </c>
      <c r="S375" s="1">
        <v>434</v>
      </c>
      <c r="T375" s="33">
        <v>0.72609999999999997</v>
      </c>
      <c r="U375" s="4">
        <v>68</v>
      </c>
      <c r="V375" s="4">
        <v>73.212999999999994</v>
      </c>
      <c r="W375" s="1">
        <v>488</v>
      </c>
      <c r="X375" s="8">
        <v>0.70850000000000002</v>
      </c>
      <c r="Y375" s="4">
        <v>67.81</v>
      </c>
      <c r="Z375" s="4">
        <v>73.123000000000005</v>
      </c>
      <c r="AA375" s="1">
        <v>482</v>
      </c>
      <c r="AB375" s="33">
        <v>0.71160000000000001</v>
      </c>
      <c r="AC375" s="4">
        <v>67.91</v>
      </c>
      <c r="AD375" s="4">
        <v>73.171000000000006</v>
      </c>
      <c r="AE375" s="1">
        <v>485</v>
      </c>
      <c r="AF375" s="33">
        <v>0.71</v>
      </c>
      <c r="AG375" s="4">
        <v>67.91</v>
      </c>
      <c r="AH375" s="4">
        <v>73.167000000000002</v>
      </c>
      <c r="AI375" s="1">
        <v>486</v>
      </c>
      <c r="AJ375" s="33">
        <v>0.70979999999999999</v>
      </c>
    </row>
    <row r="376" spans="1:40" x14ac:dyDescent="0.2">
      <c r="A376" s="1"/>
      <c r="B376" s="105"/>
      <c r="C376" s="105"/>
      <c r="D376" s="30">
        <v>91</v>
      </c>
      <c r="E376" s="27">
        <v>66.400000000000006</v>
      </c>
      <c r="F376" s="27">
        <v>72.367999999999995</v>
      </c>
      <c r="G376" s="26">
        <v>461</v>
      </c>
      <c r="H376" s="52">
        <v>0.72989999999999999</v>
      </c>
      <c r="I376" s="27">
        <v>48.61</v>
      </c>
      <c r="J376" s="27">
        <v>65.42</v>
      </c>
      <c r="K376" s="26">
        <v>0</v>
      </c>
      <c r="L376" s="52">
        <v>1</v>
      </c>
      <c r="M376" s="27">
        <v>68.94</v>
      </c>
      <c r="N376" s="27">
        <v>70.278000000000006</v>
      </c>
      <c r="O376" s="26">
        <v>1189</v>
      </c>
      <c r="P376" s="52">
        <v>0.55889999999999995</v>
      </c>
      <c r="Q376" s="27">
        <v>67.06</v>
      </c>
      <c r="R376" s="27">
        <v>72.206999999999994</v>
      </c>
      <c r="S376" s="26">
        <v>582</v>
      </c>
      <c r="T376" s="52">
        <v>0.69910000000000005</v>
      </c>
      <c r="U376" s="27">
        <v>66.290000000000006</v>
      </c>
      <c r="V376" s="27">
        <v>72.358000000000004</v>
      </c>
      <c r="W376" s="26">
        <v>449</v>
      </c>
      <c r="X376" s="32">
        <v>0.73340000000000005</v>
      </c>
      <c r="Y376" s="27">
        <v>66.38</v>
      </c>
      <c r="Z376" s="27">
        <v>72.356999999999999</v>
      </c>
      <c r="AA376" s="26">
        <v>461</v>
      </c>
      <c r="AB376" s="52">
        <v>0.73009999999999997</v>
      </c>
      <c r="AC376" s="27">
        <v>66.400000000000006</v>
      </c>
      <c r="AD376" s="27">
        <v>72.367999999999995</v>
      </c>
      <c r="AE376" s="26">
        <v>461</v>
      </c>
      <c r="AF376" s="52">
        <v>0.72989999999999999</v>
      </c>
      <c r="AG376" s="27">
        <v>66.38</v>
      </c>
      <c r="AH376" s="27">
        <v>72.356999999999999</v>
      </c>
      <c r="AI376" s="26">
        <v>461</v>
      </c>
      <c r="AJ376" s="52">
        <v>0.73009999999999997</v>
      </c>
    </row>
    <row r="377" spans="1:40" x14ac:dyDescent="0.2">
      <c r="A377" s="1"/>
      <c r="B377" s="106"/>
      <c r="C377" s="106"/>
      <c r="D377" s="6" t="s">
        <v>8</v>
      </c>
      <c r="E377" s="7">
        <f t="shared" ref="E377:AJ377" si="20">AVERAGE(E372:E376)</f>
        <v>67.457999999999998</v>
      </c>
      <c r="F377" s="7">
        <f t="shared" si="20"/>
        <v>73.144599999999997</v>
      </c>
      <c r="G377" s="35">
        <f t="shared" si="20"/>
        <v>429.6</v>
      </c>
      <c r="H377" s="34">
        <f t="shared" si="20"/>
        <v>0.72560000000000002</v>
      </c>
      <c r="I377" s="7">
        <f t="shared" si="20"/>
        <v>53.331999999999994</v>
      </c>
      <c r="J377" s="7">
        <f t="shared" si="20"/>
        <v>67.452399999999997</v>
      </c>
      <c r="K377" s="35">
        <f t="shared" si="20"/>
        <v>68.8</v>
      </c>
      <c r="L377" s="34">
        <f t="shared" si="20"/>
        <v>0.93901999999999997</v>
      </c>
      <c r="M377" s="7">
        <f t="shared" si="20"/>
        <v>65.925999999999988</v>
      </c>
      <c r="N377" s="7">
        <f t="shared" si="20"/>
        <v>70.355400000000003</v>
      </c>
      <c r="O377" s="35">
        <f t="shared" si="20"/>
        <v>808.2</v>
      </c>
      <c r="P377" s="34">
        <f t="shared" si="20"/>
        <v>0.66520000000000001</v>
      </c>
      <c r="Q377" s="7">
        <f t="shared" si="20"/>
        <v>67.778000000000006</v>
      </c>
      <c r="R377" s="7">
        <f t="shared" si="20"/>
        <v>73.079399999999993</v>
      </c>
      <c r="S377" s="35">
        <f t="shared" si="20"/>
        <v>487.4</v>
      </c>
      <c r="T377" s="34">
        <f t="shared" si="20"/>
        <v>0.71084000000000003</v>
      </c>
      <c r="U377" s="7">
        <f t="shared" si="20"/>
        <v>67.562000000000012</v>
      </c>
      <c r="V377" s="7">
        <f t="shared" si="20"/>
        <v>73.135000000000005</v>
      </c>
      <c r="W377" s="35">
        <f t="shared" si="20"/>
        <v>446.4</v>
      </c>
      <c r="X377" s="34">
        <f t="shared" si="20"/>
        <v>0.72119999999999995</v>
      </c>
      <c r="Y377" s="7">
        <f t="shared" si="20"/>
        <v>67.41</v>
      </c>
      <c r="Z377" s="7">
        <f t="shared" si="20"/>
        <v>73.131600000000006</v>
      </c>
      <c r="AA377" s="35">
        <f t="shared" si="20"/>
        <v>426</v>
      </c>
      <c r="AB377" s="34">
        <f t="shared" si="20"/>
        <v>0.72680000000000011</v>
      </c>
      <c r="AC377" s="7">
        <f t="shared" si="20"/>
        <v>67.441999999999979</v>
      </c>
      <c r="AD377" s="7">
        <f t="shared" si="20"/>
        <v>73.134799999999998</v>
      </c>
      <c r="AE377" s="35">
        <f t="shared" si="20"/>
        <v>429.6</v>
      </c>
      <c r="AF377" s="34">
        <f t="shared" si="20"/>
        <v>0.72575999999999996</v>
      </c>
      <c r="AG377" s="7">
        <f t="shared" si="20"/>
        <v>67.45</v>
      </c>
      <c r="AH377" s="7">
        <f t="shared" si="20"/>
        <v>73.138199999999983</v>
      </c>
      <c r="AI377" s="35">
        <f t="shared" si="20"/>
        <v>430</v>
      </c>
      <c r="AJ377" s="34">
        <f t="shared" si="20"/>
        <v>0.72560000000000002</v>
      </c>
      <c r="AM377" s="1">
        <f>(E377-Q377)*100/E377</f>
        <v>-0.47436923715498147</v>
      </c>
      <c r="AN377" s="1">
        <f>(E377-U377)*100/E377</f>
        <v>-0.15417000207538531</v>
      </c>
    </row>
    <row r="378" spans="1:40" x14ac:dyDescent="0.2">
      <c r="A378" s="1"/>
      <c r="B378" s="102">
        <v>1</v>
      </c>
      <c r="C378" s="104">
        <v>16</v>
      </c>
      <c r="D378" s="28">
        <v>13</v>
      </c>
      <c r="E378" s="25">
        <v>75.239999999999995</v>
      </c>
      <c r="F378" s="1">
        <v>75.06</v>
      </c>
      <c r="G378" s="25">
        <v>1136</v>
      </c>
      <c r="H378" s="31">
        <v>0.50700000000000001</v>
      </c>
      <c r="I378" s="25">
        <v>58.93</v>
      </c>
      <c r="J378" s="1">
        <v>69.98</v>
      </c>
      <c r="K378" s="25">
        <v>74</v>
      </c>
      <c r="L378" s="36">
        <v>0.88200000000000001</v>
      </c>
      <c r="M378" s="25">
        <v>75.010000000000005</v>
      </c>
      <c r="N378" s="1">
        <v>73.206999999999994</v>
      </c>
      <c r="O378" s="25">
        <v>1447</v>
      </c>
      <c r="P378" s="36">
        <v>0.4466</v>
      </c>
      <c r="Q378" s="25">
        <v>75.75</v>
      </c>
      <c r="R378" s="1">
        <v>75.546999999999997</v>
      </c>
      <c r="S378" s="25">
        <v>1115</v>
      </c>
      <c r="T378" s="36">
        <v>0.50560000000000005</v>
      </c>
      <c r="U378" s="25">
        <v>75.56</v>
      </c>
      <c r="V378" s="1">
        <v>74.213999999999999</v>
      </c>
      <c r="W378" s="25">
        <v>1344</v>
      </c>
      <c r="X378" s="36">
        <v>0.4617</v>
      </c>
      <c r="Y378" s="25">
        <v>75.569999999999993</v>
      </c>
      <c r="Z378" s="1">
        <v>74.046999999999997</v>
      </c>
      <c r="AA378" s="25">
        <v>1376</v>
      </c>
      <c r="AB378" s="36">
        <v>0.45519999999999999</v>
      </c>
      <c r="AC378" s="25">
        <v>75.599999999999994</v>
      </c>
      <c r="AD378" s="1">
        <v>74.168999999999997</v>
      </c>
      <c r="AE378" s="25">
        <v>1358</v>
      </c>
      <c r="AF378" s="36">
        <v>0.45850000000000002</v>
      </c>
      <c r="AG378" s="25">
        <v>75.63</v>
      </c>
      <c r="AH378" s="1">
        <v>74.213999999999999</v>
      </c>
      <c r="AI378" s="25">
        <v>1354</v>
      </c>
      <c r="AJ378" s="36">
        <v>0.45900000000000002</v>
      </c>
    </row>
    <row r="379" spans="1:40" x14ac:dyDescent="0.2">
      <c r="A379" s="1"/>
      <c r="B379" s="103"/>
      <c r="C379" s="105"/>
      <c r="D379" s="29">
        <v>21</v>
      </c>
      <c r="E379" s="4">
        <v>75.33</v>
      </c>
      <c r="F379" s="4">
        <v>75.650000000000006</v>
      </c>
      <c r="G379" s="1">
        <v>1029</v>
      </c>
      <c r="H379" s="8">
        <v>0.52700000000000002</v>
      </c>
      <c r="I379" s="4">
        <v>50.83</v>
      </c>
      <c r="J379" s="4">
        <v>66.412000000000006</v>
      </c>
      <c r="K379" s="1">
        <v>0</v>
      </c>
      <c r="L379" s="33">
        <v>0.9778</v>
      </c>
      <c r="M379" s="4">
        <v>62.84</v>
      </c>
      <c r="N379" s="4">
        <v>71.771000000000001</v>
      </c>
      <c r="O379" s="1">
        <v>137</v>
      </c>
      <c r="P379" s="33">
        <v>0.83030000000000004</v>
      </c>
      <c r="Q379" s="4">
        <v>74.95</v>
      </c>
      <c r="R379" s="4">
        <v>73.572999999999993</v>
      </c>
      <c r="S379" s="1">
        <v>1374</v>
      </c>
      <c r="T379" s="33">
        <v>0.46179999999999999</v>
      </c>
      <c r="U379" s="4">
        <v>74.92</v>
      </c>
      <c r="V379" s="4">
        <v>74.753</v>
      </c>
      <c r="W379" s="1">
        <v>1148</v>
      </c>
      <c r="X379" s="8">
        <v>0.50729999999999997</v>
      </c>
      <c r="Y379" s="4">
        <v>74.930000000000007</v>
      </c>
      <c r="Z379" s="4">
        <v>74.837000000000003</v>
      </c>
      <c r="AA379" s="1">
        <v>1133</v>
      </c>
      <c r="AB379" s="33">
        <v>0.51019999999999999</v>
      </c>
      <c r="AC379" s="4">
        <v>74.959999999999994</v>
      </c>
      <c r="AD379" s="4">
        <v>74.853999999999999</v>
      </c>
      <c r="AE379" s="1">
        <v>1134</v>
      </c>
      <c r="AF379" s="33">
        <v>0.50970000000000004</v>
      </c>
      <c r="AG379" s="4">
        <v>74.95</v>
      </c>
      <c r="AH379" s="4">
        <v>74.852000000000004</v>
      </c>
      <c r="AI379" s="1">
        <v>1133</v>
      </c>
      <c r="AJ379" s="33">
        <v>0.51</v>
      </c>
    </row>
    <row r="380" spans="1:40" x14ac:dyDescent="0.2">
      <c r="A380" s="1"/>
      <c r="B380" s="103"/>
      <c r="C380" s="105"/>
      <c r="D380" s="29">
        <v>47</v>
      </c>
      <c r="E380" s="4">
        <v>74.95</v>
      </c>
      <c r="F380" s="4">
        <v>75.31</v>
      </c>
      <c r="G380" s="1">
        <v>1041</v>
      </c>
      <c r="H380" s="8">
        <v>0.52800000000000002</v>
      </c>
      <c r="I380" s="4">
        <v>48.63</v>
      </c>
      <c r="J380" s="4">
        <v>65.427999999999997</v>
      </c>
      <c r="K380" s="1">
        <v>0</v>
      </c>
      <c r="L380" s="33">
        <v>0.99980000000000002</v>
      </c>
      <c r="M380" s="4">
        <v>74.2</v>
      </c>
      <c r="N380" s="4">
        <v>73.418999999999997</v>
      </c>
      <c r="O380" s="1">
        <v>1298</v>
      </c>
      <c r="P380" s="33">
        <v>0.48449999999999999</v>
      </c>
      <c r="Q380" s="4">
        <v>74.86</v>
      </c>
      <c r="R380" s="4">
        <v>76.066000000000003</v>
      </c>
      <c r="S380" s="1">
        <v>866</v>
      </c>
      <c r="T380" s="33">
        <v>0.56430000000000002</v>
      </c>
      <c r="U380" s="4">
        <v>74.8</v>
      </c>
      <c r="V380" s="4">
        <v>75.647000000000006</v>
      </c>
      <c r="W380" s="1">
        <v>947</v>
      </c>
      <c r="X380" s="8">
        <v>0.54869999999999997</v>
      </c>
      <c r="Y380" s="4">
        <v>74.84</v>
      </c>
      <c r="Z380" s="4">
        <v>75.625</v>
      </c>
      <c r="AA380" s="1">
        <v>958</v>
      </c>
      <c r="AB380" s="33">
        <v>0.54610000000000003</v>
      </c>
      <c r="AC380" s="4">
        <v>74.84</v>
      </c>
      <c r="AD380" s="4">
        <v>75.63</v>
      </c>
      <c r="AE380" s="1">
        <v>957</v>
      </c>
      <c r="AF380" s="33">
        <v>0.54630000000000001</v>
      </c>
      <c r="AG380" s="4">
        <v>74.86</v>
      </c>
      <c r="AH380" s="4">
        <v>75.64</v>
      </c>
      <c r="AI380" s="1">
        <v>958</v>
      </c>
      <c r="AJ380" s="33">
        <v>0.54590000000000005</v>
      </c>
    </row>
    <row r="381" spans="1:40" x14ac:dyDescent="0.2">
      <c r="A381" s="1"/>
      <c r="B381" s="103"/>
      <c r="C381" s="105"/>
      <c r="D381" s="29">
        <v>50</v>
      </c>
      <c r="E381" s="4">
        <v>75.12</v>
      </c>
      <c r="F381" s="4">
        <v>74.900000000000006</v>
      </c>
      <c r="G381" s="1">
        <v>1148</v>
      </c>
      <c r="H381" s="8">
        <v>0.505</v>
      </c>
      <c r="I381" s="4">
        <v>56.37</v>
      </c>
      <c r="J381" s="4">
        <v>68.948999999999998</v>
      </c>
      <c r="K381" s="1">
        <v>17</v>
      </c>
      <c r="L381" s="33">
        <v>0.91900000000000004</v>
      </c>
      <c r="M381" s="4">
        <v>73.650000000000006</v>
      </c>
      <c r="N381" s="4">
        <v>71.608999999999995</v>
      </c>
      <c r="O381" s="1">
        <v>1538</v>
      </c>
      <c r="P381" s="33">
        <v>0.442</v>
      </c>
      <c r="Q381" s="4">
        <v>74.260000000000005</v>
      </c>
      <c r="R381" s="4">
        <v>73.551000000000002</v>
      </c>
      <c r="S381" s="1">
        <v>1282</v>
      </c>
      <c r="T381" s="33">
        <v>0.48709999999999998</v>
      </c>
      <c r="U381" s="4">
        <v>74.36</v>
      </c>
      <c r="V381" s="4">
        <v>74.664000000000001</v>
      </c>
      <c r="W381" s="1">
        <v>1083</v>
      </c>
      <c r="X381" s="8">
        <v>0.52590000000000003</v>
      </c>
      <c r="Y381" s="4">
        <v>74.540000000000006</v>
      </c>
      <c r="Z381" s="4">
        <v>74.319000000000003</v>
      </c>
      <c r="AA381" s="1">
        <v>1177</v>
      </c>
      <c r="AB381" s="33">
        <v>0.50529999999999997</v>
      </c>
      <c r="AC381" s="4">
        <v>74.569999999999993</v>
      </c>
      <c r="AD381" s="4">
        <v>74.290000000000006</v>
      </c>
      <c r="AE381" s="1">
        <v>1187</v>
      </c>
      <c r="AF381" s="33">
        <v>0.503</v>
      </c>
      <c r="AG381" s="4">
        <v>74.58</v>
      </c>
      <c r="AH381" s="4">
        <v>74.322999999999993</v>
      </c>
      <c r="AI381" s="1">
        <v>1182</v>
      </c>
      <c r="AJ381" s="33">
        <v>0.50390000000000001</v>
      </c>
    </row>
    <row r="382" spans="1:40" x14ac:dyDescent="0.2">
      <c r="A382" s="1"/>
      <c r="B382" s="103"/>
      <c r="C382" s="105"/>
      <c r="D382" s="30">
        <v>91</v>
      </c>
      <c r="E382" s="27">
        <v>72.7</v>
      </c>
      <c r="F382" s="27">
        <v>73.099999999999994</v>
      </c>
      <c r="G382" s="26">
        <v>1151</v>
      </c>
      <c r="H382" s="32">
        <v>0.52900000000000003</v>
      </c>
      <c r="I382" s="27">
        <v>61.39</v>
      </c>
      <c r="J382" s="27">
        <v>38.723999999999997</v>
      </c>
      <c r="K382" s="26">
        <v>3641</v>
      </c>
      <c r="L382" s="52">
        <v>0.14399999999999999</v>
      </c>
      <c r="M382" s="27">
        <v>74.150000000000006</v>
      </c>
      <c r="N382" s="27">
        <v>74.271000000000001</v>
      </c>
      <c r="O382" s="26">
        <v>1130</v>
      </c>
      <c r="P382" s="52">
        <v>0.51859999999999995</v>
      </c>
      <c r="Q382" s="27">
        <v>74.040000000000006</v>
      </c>
      <c r="R382" s="27">
        <v>74.337999999999994</v>
      </c>
      <c r="S382" s="26">
        <v>1101</v>
      </c>
      <c r="T382" s="52">
        <v>0.52549999999999997</v>
      </c>
      <c r="U382" s="27">
        <v>74.05</v>
      </c>
      <c r="V382" s="27">
        <v>74.156000000000006</v>
      </c>
      <c r="W382" s="26">
        <v>1138</v>
      </c>
      <c r="X382" s="32">
        <v>0.51800000000000002</v>
      </c>
      <c r="Y382" s="27">
        <v>74.22</v>
      </c>
      <c r="Z382" s="27">
        <v>74.78</v>
      </c>
      <c r="AA382" s="26">
        <v>1039</v>
      </c>
      <c r="AB382" s="52">
        <v>0.53610000000000002</v>
      </c>
      <c r="AC382" s="27">
        <v>74.22</v>
      </c>
      <c r="AD382" s="27">
        <v>74.78</v>
      </c>
      <c r="AE382" s="26">
        <v>1039</v>
      </c>
      <c r="AF382" s="52">
        <v>0.53610000000000002</v>
      </c>
      <c r="AG382" s="27">
        <v>74.22</v>
      </c>
      <c r="AH382" s="27">
        <v>74.78</v>
      </c>
      <c r="AI382" s="26">
        <v>1039</v>
      </c>
      <c r="AJ382" s="52">
        <v>0.53610000000000002</v>
      </c>
    </row>
    <row r="383" spans="1:40" x14ac:dyDescent="0.2">
      <c r="A383" s="1"/>
      <c r="B383" s="101"/>
      <c r="C383" s="105"/>
      <c r="D383" s="6" t="s">
        <v>8</v>
      </c>
      <c r="E383" s="7">
        <f>AVERAGE(E378:E382)</f>
        <v>74.667999999999992</v>
      </c>
      <c r="F383" s="7">
        <f>AVERAGE(F378:F382)</f>
        <v>74.804000000000002</v>
      </c>
      <c r="G383" s="35">
        <f t="shared" ref="G383:H383" si="21">AVERAGE(G378:G382)</f>
        <v>1101</v>
      </c>
      <c r="H383" s="34">
        <f t="shared" si="21"/>
        <v>0.51919999999999999</v>
      </c>
      <c r="I383" s="7">
        <f t="shared" ref="I383:AJ383" si="22">AVERAGE(I378:I382)</f>
        <v>55.23</v>
      </c>
      <c r="J383" s="7">
        <f t="shared" si="22"/>
        <v>61.898600000000002</v>
      </c>
      <c r="K383" s="35">
        <f t="shared" si="22"/>
        <v>746.4</v>
      </c>
      <c r="L383" s="34">
        <f t="shared" si="22"/>
        <v>0.78452</v>
      </c>
      <c r="M383" s="7">
        <f t="shared" si="22"/>
        <v>71.97</v>
      </c>
      <c r="N383" s="7">
        <f t="shared" si="22"/>
        <v>72.855400000000003</v>
      </c>
      <c r="O383" s="35">
        <f t="shared" si="22"/>
        <v>1110</v>
      </c>
      <c r="P383" s="34">
        <f t="shared" si="22"/>
        <v>0.54439999999999988</v>
      </c>
      <c r="Q383" s="7">
        <f t="shared" si="22"/>
        <v>74.772000000000006</v>
      </c>
      <c r="R383" s="7">
        <f t="shared" si="22"/>
        <v>74.615000000000009</v>
      </c>
      <c r="S383" s="35">
        <f t="shared" si="22"/>
        <v>1147.5999999999999</v>
      </c>
      <c r="T383" s="34">
        <f t="shared" si="22"/>
        <v>0.50886000000000009</v>
      </c>
      <c r="U383" s="7">
        <f t="shared" si="22"/>
        <v>74.738000000000014</v>
      </c>
      <c r="V383" s="7">
        <f t="shared" si="22"/>
        <v>74.686799999999991</v>
      </c>
      <c r="W383" s="35">
        <f t="shared" si="22"/>
        <v>1132</v>
      </c>
      <c r="X383" s="34">
        <f t="shared" si="22"/>
        <v>0.51232000000000011</v>
      </c>
      <c r="Y383" s="7">
        <f t="shared" si="22"/>
        <v>74.820000000000007</v>
      </c>
      <c r="Z383" s="7">
        <f t="shared" si="22"/>
        <v>74.721600000000009</v>
      </c>
      <c r="AA383" s="35">
        <f t="shared" si="22"/>
        <v>1136.5999999999999</v>
      </c>
      <c r="AB383" s="34">
        <f t="shared" si="22"/>
        <v>0.51058000000000003</v>
      </c>
      <c r="AC383" s="7">
        <f t="shared" si="22"/>
        <v>74.838000000000008</v>
      </c>
      <c r="AD383" s="7">
        <f t="shared" si="22"/>
        <v>74.744599999999991</v>
      </c>
      <c r="AE383" s="35">
        <f t="shared" si="22"/>
        <v>1135</v>
      </c>
      <c r="AF383" s="34">
        <f t="shared" si="22"/>
        <v>0.51072000000000006</v>
      </c>
      <c r="AG383" s="7">
        <f t="shared" si="22"/>
        <v>74.847999999999999</v>
      </c>
      <c r="AH383" s="7">
        <f t="shared" si="22"/>
        <v>74.761799999999994</v>
      </c>
      <c r="AI383" s="35">
        <f t="shared" si="22"/>
        <v>1133.2</v>
      </c>
      <c r="AJ383" s="34">
        <f t="shared" si="22"/>
        <v>0.51097999999999999</v>
      </c>
      <c r="AM383" s="1">
        <f>(E383-Q383)*100/E383</f>
        <v>-0.1392832270852486</v>
      </c>
      <c r="AN383" s="1">
        <f>(E383-U383)*100/E383</f>
        <v>-9.3748325922780318E-2</v>
      </c>
    </row>
    <row r="384" spans="1:40" x14ac:dyDescent="0.2">
      <c r="A384" s="1"/>
      <c r="B384" s="104">
        <v>1.2</v>
      </c>
      <c r="C384" s="105"/>
      <c r="D384" s="28">
        <v>13</v>
      </c>
      <c r="E384" s="25">
        <v>75.319999999999993</v>
      </c>
      <c r="F384" s="25">
        <v>74.78</v>
      </c>
      <c r="G384" s="25">
        <v>1202</v>
      </c>
      <c r="H384" s="31">
        <v>0.49299999999999999</v>
      </c>
      <c r="I384" s="25">
        <v>74.12</v>
      </c>
      <c r="J384" s="1">
        <v>74.319999999999993</v>
      </c>
      <c r="K384" s="25">
        <v>1116</v>
      </c>
      <c r="L384" s="36">
        <v>0.52170000000000005</v>
      </c>
      <c r="M384" s="25">
        <v>74.11</v>
      </c>
      <c r="N384" s="1">
        <v>76.397000000000006</v>
      </c>
      <c r="O384" s="25">
        <v>671</v>
      </c>
      <c r="P384" s="36">
        <v>0.61080000000000001</v>
      </c>
      <c r="Q384" s="25">
        <v>75.67</v>
      </c>
      <c r="R384" s="1">
        <v>75.037999999999997</v>
      </c>
      <c r="S384" s="25">
        <v>1204</v>
      </c>
      <c r="T384" s="36">
        <v>0.48859999999999998</v>
      </c>
      <c r="U384" s="25">
        <v>75.37</v>
      </c>
      <c r="V384" s="1">
        <v>75.337999999999994</v>
      </c>
      <c r="W384" s="25">
        <v>1099</v>
      </c>
      <c r="X384" s="36">
        <v>0.51259999999999994</v>
      </c>
      <c r="Y384" s="25">
        <v>75.349999999999994</v>
      </c>
      <c r="Z384" s="1">
        <v>75.332999999999998</v>
      </c>
      <c r="AA384" s="25">
        <v>1097</v>
      </c>
      <c r="AB384" s="36">
        <v>0.51319999999999999</v>
      </c>
      <c r="AC384" s="25">
        <v>75.36</v>
      </c>
      <c r="AD384" s="1">
        <v>75.34</v>
      </c>
      <c r="AE384" s="25">
        <v>1097</v>
      </c>
      <c r="AF384" s="36">
        <v>0.5131</v>
      </c>
      <c r="AG384" s="25">
        <v>75.319999999999993</v>
      </c>
      <c r="AH384" s="1">
        <v>75.319999999999993</v>
      </c>
      <c r="AI384" s="25">
        <v>1095</v>
      </c>
      <c r="AJ384" s="36">
        <v>0.51390000000000002</v>
      </c>
    </row>
    <row r="385" spans="1:40" x14ac:dyDescent="0.2">
      <c r="A385" s="1"/>
      <c r="B385" s="105"/>
      <c r="C385" s="105"/>
      <c r="D385" s="29">
        <v>21</v>
      </c>
      <c r="E385" s="4">
        <v>75.27</v>
      </c>
      <c r="F385" s="4">
        <v>74.44</v>
      </c>
      <c r="G385" s="1">
        <v>1259</v>
      </c>
      <c r="H385" s="8">
        <v>0.48199999999999998</v>
      </c>
      <c r="I385" s="4">
        <v>53.42</v>
      </c>
      <c r="J385" s="4">
        <v>67.504000000000005</v>
      </c>
      <c r="K385" s="1">
        <v>23</v>
      </c>
      <c r="L385" s="33">
        <v>0.94730000000000003</v>
      </c>
      <c r="M385" s="4">
        <v>73.400000000000006</v>
      </c>
      <c r="N385" s="4">
        <v>69.888999999999996</v>
      </c>
      <c r="O385" s="1">
        <v>1774</v>
      </c>
      <c r="P385" s="33">
        <v>0.39729999999999999</v>
      </c>
      <c r="Q385" s="4">
        <v>74.81</v>
      </c>
      <c r="R385" s="4">
        <v>74.412999999999997</v>
      </c>
      <c r="S385" s="1">
        <v>1198</v>
      </c>
      <c r="T385" s="33">
        <v>0.49840000000000001</v>
      </c>
      <c r="U385" s="4">
        <v>74.89</v>
      </c>
      <c r="V385" s="4">
        <v>74.525999999999996</v>
      </c>
      <c r="W385" s="1">
        <v>1188</v>
      </c>
      <c r="X385" s="8">
        <v>0.49959999999999999</v>
      </c>
      <c r="Y385" s="4">
        <v>74.959999999999994</v>
      </c>
      <c r="Z385" s="4">
        <v>74.778000000000006</v>
      </c>
      <c r="AA385" s="1">
        <v>1149</v>
      </c>
      <c r="AB385" s="33">
        <v>0.50670000000000004</v>
      </c>
      <c r="AC385" s="4">
        <v>74.87</v>
      </c>
      <c r="AD385" s="4">
        <v>74.623999999999995</v>
      </c>
      <c r="AE385" s="1">
        <v>1166</v>
      </c>
      <c r="AF385" s="33">
        <v>0.50419999999999998</v>
      </c>
      <c r="AG385" s="4">
        <v>74.89</v>
      </c>
      <c r="AH385" s="4">
        <v>74.638999999999996</v>
      </c>
      <c r="AI385" s="1">
        <v>1166</v>
      </c>
      <c r="AJ385" s="33">
        <v>0.504</v>
      </c>
    </row>
    <row r="386" spans="1:40" x14ac:dyDescent="0.2">
      <c r="A386" s="1"/>
      <c r="B386" s="105"/>
      <c r="C386" s="105"/>
      <c r="D386" s="29">
        <v>47</v>
      </c>
      <c r="E386" s="4">
        <v>74.819999999999993</v>
      </c>
      <c r="F386" s="4">
        <v>74.08</v>
      </c>
      <c r="G386" s="1">
        <v>1263</v>
      </c>
      <c r="H386" s="8">
        <v>0.48499999999999999</v>
      </c>
      <c r="I386" s="4">
        <v>49.52</v>
      </c>
      <c r="J386" s="4">
        <v>65.822999999999993</v>
      </c>
      <c r="K386" s="1">
        <v>0</v>
      </c>
      <c r="L386" s="33">
        <v>0.9909</v>
      </c>
      <c r="M386" s="4">
        <v>73.12</v>
      </c>
      <c r="N386" s="4">
        <v>69.682000000000002</v>
      </c>
      <c r="O386" s="1">
        <v>1772</v>
      </c>
      <c r="P386" s="33">
        <v>0.40050000000000002</v>
      </c>
      <c r="Q386" s="4">
        <v>74.95</v>
      </c>
      <c r="R386" s="4">
        <v>73.870999999999995</v>
      </c>
      <c r="S386" s="1">
        <v>1320</v>
      </c>
      <c r="T386" s="33">
        <v>0.47260000000000002</v>
      </c>
      <c r="U386" s="4">
        <v>74.94</v>
      </c>
      <c r="V386" s="4">
        <v>75.045000000000002</v>
      </c>
      <c r="W386" s="1">
        <v>1093</v>
      </c>
      <c r="X386" s="8">
        <v>0.5181</v>
      </c>
      <c r="Y386" s="4">
        <v>74.89</v>
      </c>
      <c r="Z386" s="4">
        <v>74.807000000000002</v>
      </c>
      <c r="AA386" s="1">
        <v>1133</v>
      </c>
      <c r="AB386" s="33">
        <v>0.51060000000000005</v>
      </c>
      <c r="AC386" s="4">
        <v>74.94</v>
      </c>
      <c r="AD386" s="4">
        <v>74.905000000000001</v>
      </c>
      <c r="AE386" s="1">
        <v>1121</v>
      </c>
      <c r="AF386" s="33">
        <v>0.51249999999999996</v>
      </c>
      <c r="AG386" s="4">
        <v>74.94</v>
      </c>
      <c r="AH386" s="4">
        <v>74.900000000000006</v>
      </c>
      <c r="AI386" s="1">
        <v>1122</v>
      </c>
      <c r="AJ386" s="33">
        <v>0.51229999999999998</v>
      </c>
    </row>
    <row r="387" spans="1:40" x14ac:dyDescent="0.2">
      <c r="A387" s="1"/>
      <c r="B387" s="105"/>
      <c r="C387" s="105"/>
      <c r="D387" s="29">
        <v>50</v>
      </c>
      <c r="E387" s="4">
        <v>74.430000000000007</v>
      </c>
      <c r="F387" s="4">
        <v>76.02</v>
      </c>
      <c r="G387" s="1">
        <v>807</v>
      </c>
      <c r="H387" s="33">
        <v>0.57999999999999996</v>
      </c>
      <c r="I387" s="4">
        <v>71.08</v>
      </c>
      <c r="J387" s="4">
        <v>75.278000000000006</v>
      </c>
      <c r="K387" s="1">
        <v>458</v>
      </c>
      <c r="L387" s="33">
        <v>0.68369999999999997</v>
      </c>
      <c r="M387" s="4">
        <v>68.88</v>
      </c>
      <c r="N387" s="4">
        <v>59.116999999999997</v>
      </c>
      <c r="O387" s="1">
        <v>2611</v>
      </c>
      <c r="P387" s="33">
        <v>0.27510000000000001</v>
      </c>
      <c r="Q387" s="4">
        <v>74.319999999999993</v>
      </c>
      <c r="R387" s="4">
        <v>75.774000000000001</v>
      </c>
      <c r="S387" s="1">
        <v>845</v>
      </c>
      <c r="T387" s="33">
        <v>0.57389999999999997</v>
      </c>
      <c r="U387" s="4">
        <v>74.73</v>
      </c>
      <c r="V387" s="4">
        <v>75.525000000000006</v>
      </c>
      <c r="W387" s="1">
        <v>962</v>
      </c>
      <c r="X387" s="8">
        <v>0.5464</v>
      </c>
      <c r="Y387" s="4">
        <v>74.72</v>
      </c>
      <c r="Z387" s="4">
        <v>75.588999999999999</v>
      </c>
      <c r="AA387" s="1">
        <v>947</v>
      </c>
      <c r="AB387" s="33">
        <v>0.54949999999999999</v>
      </c>
      <c r="AC387" s="4">
        <v>74.709999999999994</v>
      </c>
      <c r="AD387" s="4">
        <v>75.652000000000001</v>
      </c>
      <c r="AE387" s="1">
        <v>932</v>
      </c>
      <c r="AF387" s="33">
        <v>0.55259999999999998</v>
      </c>
      <c r="AG387" s="4">
        <v>74.72</v>
      </c>
      <c r="AH387" s="4">
        <v>75.655000000000001</v>
      </c>
      <c r="AI387" s="1">
        <v>933</v>
      </c>
      <c r="AJ387" s="33">
        <v>0.55230000000000001</v>
      </c>
    </row>
    <row r="388" spans="1:40" x14ac:dyDescent="0.2">
      <c r="A388" s="1"/>
      <c r="B388" s="105"/>
      <c r="C388" s="105"/>
      <c r="D388" s="30">
        <v>91</v>
      </c>
      <c r="E388" s="27">
        <v>74.75</v>
      </c>
      <c r="F388" s="27">
        <v>75.790000000000006</v>
      </c>
      <c r="G388" s="26">
        <v>908</v>
      </c>
      <c r="H388" s="32">
        <v>0.55700000000000005</v>
      </c>
      <c r="I388" s="27">
        <v>51.79</v>
      </c>
      <c r="J388" s="27">
        <v>66.808999999999997</v>
      </c>
      <c r="K388" s="26">
        <v>9</v>
      </c>
      <c r="L388" s="52">
        <v>0.96640000000000004</v>
      </c>
      <c r="M388" s="27">
        <v>74.41</v>
      </c>
      <c r="N388" s="27">
        <v>73.948999999999998</v>
      </c>
      <c r="O388" s="26">
        <v>1229</v>
      </c>
      <c r="P388" s="52">
        <v>0.49619999999999997</v>
      </c>
      <c r="Q388" s="27">
        <v>74.62</v>
      </c>
      <c r="R388" s="27">
        <v>75.2</v>
      </c>
      <c r="S388" s="26">
        <v>1013</v>
      </c>
      <c r="T388" s="52">
        <v>0.5373</v>
      </c>
      <c r="U388" s="27">
        <v>74.540000000000006</v>
      </c>
      <c r="V388" s="27">
        <v>75.277000000000001</v>
      </c>
      <c r="W388" s="26">
        <v>985</v>
      </c>
      <c r="X388" s="32">
        <v>0.54369999999999996</v>
      </c>
      <c r="Y388" s="27">
        <v>74.53</v>
      </c>
      <c r="Z388" s="27">
        <v>75.216999999999999</v>
      </c>
      <c r="AA388" s="26">
        <v>996</v>
      </c>
      <c r="AB388" s="52">
        <v>0.54159999999999997</v>
      </c>
      <c r="AC388" s="27">
        <v>74.540000000000006</v>
      </c>
      <c r="AD388" s="27">
        <v>75.213999999999999</v>
      </c>
      <c r="AE388" s="26">
        <v>998</v>
      </c>
      <c r="AF388" s="52">
        <v>0.54110000000000003</v>
      </c>
      <c r="AG388" s="27">
        <v>74.56</v>
      </c>
      <c r="AH388" s="27">
        <v>75.224000000000004</v>
      </c>
      <c r="AI388" s="26">
        <v>999</v>
      </c>
      <c r="AJ388" s="52">
        <v>0.54069999999999996</v>
      </c>
    </row>
    <row r="389" spans="1:40" x14ac:dyDescent="0.2">
      <c r="A389" s="1"/>
      <c r="B389" s="106"/>
      <c r="C389" s="105"/>
      <c r="D389" s="6" t="s">
        <v>8</v>
      </c>
      <c r="E389" s="7">
        <f>AVERAGE(E384:E388)</f>
        <v>74.917999999999992</v>
      </c>
      <c r="F389" s="7">
        <f>AVERAGE(F384:F388)</f>
        <v>75.022000000000006</v>
      </c>
      <c r="G389" s="35">
        <f t="shared" ref="G389:H389" si="23">AVERAGE(G384:G388)</f>
        <v>1087.8</v>
      </c>
      <c r="H389" s="34">
        <f t="shared" si="23"/>
        <v>0.51939999999999997</v>
      </c>
      <c r="I389" s="7">
        <f t="shared" ref="I389:AJ389" si="24">AVERAGE(I384:I388)</f>
        <v>59.986000000000004</v>
      </c>
      <c r="J389" s="7">
        <f t="shared" si="24"/>
        <v>69.94680000000001</v>
      </c>
      <c r="K389" s="35">
        <f t="shared" si="24"/>
        <v>321.2</v>
      </c>
      <c r="L389" s="34">
        <f t="shared" si="24"/>
        <v>0.82200000000000006</v>
      </c>
      <c r="M389" s="7">
        <f t="shared" si="24"/>
        <v>72.783999999999992</v>
      </c>
      <c r="N389" s="7">
        <f t="shared" si="24"/>
        <v>69.80680000000001</v>
      </c>
      <c r="O389" s="35">
        <f t="shared" si="24"/>
        <v>1611.4</v>
      </c>
      <c r="P389" s="34">
        <f t="shared" si="24"/>
        <v>0.43597999999999998</v>
      </c>
      <c r="Q389" s="7">
        <f t="shared" si="24"/>
        <v>74.873999999999995</v>
      </c>
      <c r="R389" s="7">
        <f t="shared" si="24"/>
        <v>74.859200000000001</v>
      </c>
      <c r="S389" s="35">
        <f t="shared" si="24"/>
        <v>1116</v>
      </c>
      <c r="T389" s="34">
        <f t="shared" si="24"/>
        <v>0.51416000000000006</v>
      </c>
      <c r="U389" s="7">
        <f t="shared" si="24"/>
        <v>74.894000000000005</v>
      </c>
      <c r="V389" s="7">
        <f t="shared" si="24"/>
        <v>75.142199999999988</v>
      </c>
      <c r="W389" s="35">
        <f t="shared" si="24"/>
        <v>1065.4000000000001</v>
      </c>
      <c r="X389" s="34">
        <f t="shared" si="24"/>
        <v>0.52407999999999988</v>
      </c>
      <c r="Y389" s="7">
        <f t="shared" si="24"/>
        <v>74.889999999999986</v>
      </c>
      <c r="Z389" s="7">
        <f t="shared" si="24"/>
        <v>75.144800000000004</v>
      </c>
      <c r="AA389" s="35">
        <f t="shared" si="24"/>
        <v>1064.4000000000001</v>
      </c>
      <c r="AB389" s="34">
        <f t="shared" si="24"/>
        <v>0.52432000000000001</v>
      </c>
      <c r="AC389" s="7">
        <f t="shared" si="24"/>
        <v>74.884</v>
      </c>
      <c r="AD389" s="7">
        <f t="shared" si="24"/>
        <v>75.147000000000006</v>
      </c>
      <c r="AE389" s="35">
        <f t="shared" si="24"/>
        <v>1062.8</v>
      </c>
      <c r="AF389" s="34">
        <f t="shared" si="24"/>
        <v>0.52469999999999994</v>
      </c>
      <c r="AG389" s="7">
        <f t="shared" si="24"/>
        <v>74.885999999999996</v>
      </c>
      <c r="AH389" s="7">
        <f t="shared" si="24"/>
        <v>75.147599999999997</v>
      </c>
      <c r="AI389" s="35">
        <f t="shared" si="24"/>
        <v>1063</v>
      </c>
      <c r="AJ389" s="34">
        <f t="shared" si="24"/>
        <v>0.52464</v>
      </c>
      <c r="AM389" s="1">
        <f>(E389-Q389)*100/E389</f>
        <v>5.8730879094472534E-2</v>
      </c>
      <c r="AN389" s="1">
        <f>(E389-U389)*100/E389</f>
        <v>3.2035024960605861E-2</v>
      </c>
    </row>
    <row r="390" spans="1:40" x14ac:dyDescent="0.2">
      <c r="A390" s="1"/>
      <c r="B390" s="104">
        <v>1.4</v>
      </c>
      <c r="C390" s="105"/>
      <c r="D390" s="28">
        <v>13</v>
      </c>
      <c r="E390" s="25">
        <v>72.239999999999995</v>
      </c>
      <c r="F390" s="25">
        <v>75.959999999999994</v>
      </c>
      <c r="G390" s="25">
        <v>476</v>
      </c>
      <c r="H390" s="31">
        <v>0.66900000000000004</v>
      </c>
      <c r="I390" s="25">
        <v>56.92</v>
      </c>
      <c r="J390" s="1">
        <v>69.091999999999999</v>
      </c>
      <c r="K390" s="25">
        <v>46</v>
      </c>
      <c r="L390" s="36">
        <v>0.90769999999999995</v>
      </c>
      <c r="M390" s="25">
        <v>67.37</v>
      </c>
      <c r="N390" s="1">
        <v>74.138000000000005</v>
      </c>
      <c r="O390" s="25">
        <v>184</v>
      </c>
      <c r="P390" s="36">
        <v>0.77559999999999996</v>
      </c>
      <c r="Q390" s="25">
        <v>70.88</v>
      </c>
      <c r="R390" s="1">
        <v>75.509</v>
      </c>
      <c r="S390" s="25">
        <v>372</v>
      </c>
      <c r="T390" s="36">
        <v>0.70289999999999997</v>
      </c>
      <c r="U390" s="25">
        <v>70.77</v>
      </c>
      <c r="V390" s="1">
        <v>75.427000000000007</v>
      </c>
      <c r="W390" s="25">
        <v>375</v>
      </c>
      <c r="X390" s="36">
        <v>0.70340000000000003</v>
      </c>
      <c r="Y390" s="25">
        <v>70.760000000000005</v>
      </c>
      <c r="Z390" s="1">
        <v>75.424000000000007</v>
      </c>
      <c r="AA390" s="25">
        <v>374</v>
      </c>
      <c r="AB390" s="36">
        <v>0.70369999999999999</v>
      </c>
      <c r="AC390" s="25">
        <v>70.5</v>
      </c>
      <c r="AD390" s="1">
        <v>75.31</v>
      </c>
      <c r="AE390" s="25">
        <v>362</v>
      </c>
      <c r="AF390" s="36">
        <v>0.7087</v>
      </c>
      <c r="AG390" s="25">
        <v>70.489999999999995</v>
      </c>
      <c r="AH390" s="1">
        <v>75.290999999999997</v>
      </c>
      <c r="AI390" s="25">
        <v>365</v>
      </c>
      <c r="AJ390" s="36">
        <v>0.70820000000000005</v>
      </c>
    </row>
    <row r="391" spans="1:40" x14ac:dyDescent="0.2">
      <c r="A391" s="1"/>
      <c r="B391" s="105"/>
      <c r="C391" s="105"/>
      <c r="D391" s="29">
        <v>21</v>
      </c>
      <c r="E391" s="4">
        <v>71.61</v>
      </c>
      <c r="F391" s="4">
        <v>75.87</v>
      </c>
      <c r="G391" s="1">
        <v>398</v>
      </c>
      <c r="H391" s="8">
        <v>0.69</v>
      </c>
      <c r="I391" s="4">
        <v>70.8</v>
      </c>
      <c r="J391" s="4">
        <v>74.085999999999999</v>
      </c>
      <c r="K391" s="1">
        <v>687</v>
      </c>
      <c r="L391" s="33">
        <v>0.64070000000000005</v>
      </c>
      <c r="M391" s="4">
        <v>53.99</v>
      </c>
      <c r="N391" s="4">
        <v>67.840999999999994</v>
      </c>
      <c r="O391" s="1">
        <v>8</v>
      </c>
      <c r="P391" s="33">
        <v>0.9446</v>
      </c>
      <c r="Q391" s="4">
        <v>68.400000000000006</v>
      </c>
      <c r="R391" s="4">
        <v>74.412999999999997</v>
      </c>
      <c r="S391" s="1">
        <v>266</v>
      </c>
      <c r="T391" s="33">
        <v>0.74890000000000001</v>
      </c>
      <c r="U391" s="4">
        <v>67.790000000000006</v>
      </c>
      <c r="V391" s="4">
        <v>74.156000000000006</v>
      </c>
      <c r="W391" s="1">
        <v>240</v>
      </c>
      <c r="X391" s="8">
        <v>0.76019999999999999</v>
      </c>
      <c r="Y391" s="4">
        <v>68.319999999999993</v>
      </c>
      <c r="Z391" s="4">
        <v>74.394000000000005</v>
      </c>
      <c r="AA391" s="1">
        <v>259</v>
      </c>
      <c r="AB391" s="33">
        <v>0.75109999999999999</v>
      </c>
      <c r="AC391" s="4">
        <v>68.33</v>
      </c>
      <c r="AD391" s="4">
        <v>74.400000000000006</v>
      </c>
      <c r="AE391" s="1">
        <v>259</v>
      </c>
      <c r="AF391" s="33">
        <v>0.751</v>
      </c>
      <c r="AG391" s="4">
        <v>68.34</v>
      </c>
      <c r="AH391" s="4">
        <v>74.406000000000006</v>
      </c>
      <c r="AI391" s="1">
        <v>259</v>
      </c>
      <c r="AJ391" s="33">
        <v>0.75090000000000001</v>
      </c>
    </row>
    <row r="392" spans="1:40" x14ac:dyDescent="0.2">
      <c r="A392" s="1"/>
      <c r="B392" s="105"/>
      <c r="C392" s="105"/>
      <c r="D392" s="29">
        <v>47</v>
      </c>
      <c r="E392" s="4">
        <v>70.819999999999993</v>
      </c>
      <c r="F392" s="4">
        <v>75.569999999999993</v>
      </c>
      <c r="G392" s="1">
        <v>348</v>
      </c>
      <c r="H392" s="8">
        <v>0.70799999999999996</v>
      </c>
      <c r="I392" s="4">
        <v>49.99</v>
      </c>
      <c r="J392" s="4">
        <v>66.033000000000001</v>
      </c>
      <c r="K392" s="1">
        <v>0</v>
      </c>
      <c r="L392" s="33">
        <v>0.98619999999999997</v>
      </c>
      <c r="M392" s="4">
        <v>62.99</v>
      </c>
      <c r="N392" s="4">
        <v>72.061999999999998</v>
      </c>
      <c r="O392" s="1">
        <v>88</v>
      </c>
      <c r="P392" s="33">
        <v>0.83860000000000001</v>
      </c>
      <c r="Q392" s="4">
        <v>71.27</v>
      </c>
      <c r="R392" s="4">
        <v>75.715999999999994</v>
      </c>
      <c r="S392" s="1">
        <v>382</v>
      </c>
      <c r="T392" s="33">
        <v>0.69699999999999995</v>
      </c>
      <c r="U392" s="4">
        <v>70.260000000000005</v>
      </c>
      <c r="V392" s="4">
        <v>75.290999999999997</v>
      </c>
      <c r="W392" s="1">
        <v>330</v>
      </c>
      <c r="X392" s="8">
        <v>0.71750000000000003</v>
      </c>
      <c r="Y392" s="4">
        <v>70.58</v>
      </c>
      <c r="Z392" s="4">
        <v>75.430000000000007</v>
      </c>
      <c r="AA392" s="1">
        <v>345</v>
      </c>
      <c r="AB392" s="33">
        <v>0.71130000000000004</v>
      </c>
      <c r="AC392" s="4">
        <v>70.540000000000006</v>
      </c>
      <c r="AD392" s="4">
        <v>75.405000000000001</v>
      </c>
      <c r="AE392" s="1">
        <v>345</v>
      </c>
      <c r="AF392" s="33">
        <v>0.7117</v>
      </c>
      <c r="AG392" s="4">
        <v>70.489999999999995</v>
      </c>
      <c r="AH392" s="4">
        <v>75.378</v>
      </c>
      <c r="AI392" s="1">
        <v>344</v>
      </c>
      <c r="AJ392" s="33">
        <v>0.71240000000000003</v>
      </c>
    </row>
    <row r="393" spans="1:40" x14ac:dyDescent="0.2">
      <c r="A393" s="1"/>
      <c r="B393" s="105"/>
      <c r="C393" s="105"/>
      <c r="D393" s="29">
        <v>50</v>
      </c>
      <c r="E393" s="4">
        <v>69.66</v>
      </c>
      <c r="F393" s="4">
        <v>75.099999999999994</v>
      </c>
      <c r="G393" s="1">
        <v>286</v>
      </c>
      <c r="H393" s="8">
        <v>0.73199999999999998</v>
      </c>
      <c r="I393" s="4">
        <v>71.42</v>
      </c>
      <c r="J393" s="4">
        <v>75.421000000000006</v>
      </c>
      <c r="K393" s="1">
        <v>476</v>
      </c>
      <c r="L393" s="33">
        <v>0.67669999999999997</v>
      </c>
      <c r="M393" s="4">
        <v>67.05</v>
      </c>
      <c r="N393" s="4">
        <v>73.945999999999998</v>
      </c>
      <c r="O393" s="1">
        <v>185</v>
      </c>
      <c r="P393" s="33">
        <v>0.77859999999999996</v>
      </c>
      <c r="Q393" s="4">
        <v>63.25</v>
      </c>
      <c r="R393" s="4">
        <v>72.233000000000004</v>
      </c>
      <c r="S393" s="1">
        <v>81</v>
      </c>
      <c r="T393" s="33">
        <v>0.83740000000000003</v>
      </c>
      <c r="U393" s="4">
        <v>66.81</v>
      </c>
      <c r="V393" s="4">
        <v>73.974999999999994</v>
      </c>
      <c r="W393" s="1">
        <v>144</v>
      </c>
      <c r="X393" s="8">
        <v>0.78920000000000001</v>
      </c>
      <c r="Y393" s="4">
        <v>67.209999999999994</v>
      </c>
      <c r="Z393" s="4">
        <v>74.162999999999997</v>
      </c>
      <c r="AA393" s="1">
        <v>155</v>
      </c>
      <c r="AB393" s="33">
        <v>0.78300000000000003</v>
      </c>
      <c r="AC393" s="4">
        <v>67.2</v>
      </c>
      <c r="AD393" s="4">
        <v>74.161000000000001</v>
      </c>
      <c r="AE393" s="1">
        <v>154</v>
      </c>
      <c r="AF393" s="33">
        <v>0.7833</v>
      </c>
      <c r="AG393" s="4">
        <v>67.209999999999994</v>
      </c>
      <c r="AH393" s="4">
        <v>74.167000000000002</v>
      </c>
      <c r="AI393" s="1">
        <v>154</v>
      </c>
      <c r="AJ393" s="33">
        <v>0.78320000000000001</v>
      </c>
    </row>
    <row r="394" spans="1:40" x14ac:dyDescent="0.2">
      <c r="A394" s="1"/>
      <c r="B394" s="105"/>
      <c r="C394" s="105"/>
      <c r="D394" s="30">
        <v>91</v>
      </c>
      <c r="E394" s="27">
        <v>71.349999999999994</v>
      </c>
      <c r="F394" s="27">
        <v>75.739999999999995</v>
      </c>
      <c r="G394" s="26">
        <v>389</v>
      </c>
      <c r="H394" s="32">
        <v>0.69499999999999995</v>
      </c>
      <c r="I394" s="27">
        <v>48.61</v>
      </c>
      <c r="J394" s="27">
        <v>65.42</v>
      </c>
      <c r="K394" s="26">
        <v>0</v>
      </c>
      <c r="L394" s="52">
        <v>1</v>
      </c>
      <c r="M394" s="27">
        <v>74.739999999999995</v>
      </c>
      <c r="N394" s="27">
        <v>76.701999999999998</v>
      </c>
      <c r="O394" s="26">
        <v>703</v>
      </c>
      <c r="P394" s="52">
        <v>0.59809999999999997</v>
      </c>
      <c r="Q394" s="27">
        <v>73.040000000000006</v>
      </c>
      <c r="R394" s="27">
        <v>76.617999999999995</v>
      </c>
      <c r="S394" s="26">
        <v>444</v>
      </c>
      <c r="T394" s="52">
        <v>0.66690000000000005</v>
      </c>
      <c r="U394" s="27">
        <v>69.84</v>
      </c>
      <c r="V394" s="27">
        <v>75.408000000000001</v>
      </c>
      <c r="W394" s="26">
        <v>237</v>
      </c>
      <c r="X394" s="32">
        <v>0.74029999999999996</v>
      </c>
      <c r="Y394" s="27">
        <v>70.78</v>
      </c>
      <c r="Z394" s="27">
        <v>75.891000000000005</v>
      </c>
      <c r="AA394" s="26">
        <v>262</v>
      </c>
      <c r="AB394" s="52">
        <v>0.72589999999999999</v>
      </c>
      <c r="AC394" s="27">
        <v>70.94</v>
      </c>
      <c r="AD394" s="27">
        <v>75.986999999999995</v>
      </c>
      <c r="AE394" s="26">
        <v>263</v>
      </c>
      <c r="AF394" s="52">
        <v>0.72409999999999997</v>
      </c>
      <c r="AG394" s="27">
        <v>70.95</v>
      </c>
      <c r="AH394" s="27">
        <v>75.994</v>
      </c>
      <c r="AI394" s="26">
        <v>263</v>
      </c>
      <c r="AJ394" s="52">
        <v>0.72399999999999998</v>
      </c>
    </row>
    <row r="395" spans="1:40" x14ac:dyDescent="0.2">
      <c r="A395" s="1"/>
      <c r="B395" s="106"/>
      <c r="C395" s="106"/>
      <c r="D395" s="6" t="s">
        <v>8</v>
      </c>
      <c r="E395" s="7">
        <f>AVERAGE(E390:E394)</f>
        <v>71.135999999999996</v>
      </c>
      <c r="F395" s="7">
        <f>AVERAGE(F390:F394)</f>
        <v>75.647999999999996</v>
      </c>
      <c r="G395" s="35">
        <f t="shared" ref="G395:H395" si="25">AVERAGE(G390:G394)</f>
        <v>379.4</v>
      </c>
      <c r="H395" s="34">
        <f t="shared" si="25"/>
        <v>0.69880000000000009</v>
      </c>
      <c r="I395" s="7">
        <f t="shared" ref="I395:AJ395" si="26">AVERAGE(I390:I394)</f>
        <v>59.548000000000002</v>
      </c>
      <c r="J395" s="7">
        <f t="shared" si="26"/>
        <v>70.010400000000004</v>
      </c>
      <c r="K395" s="35">
        <f t="shared" si="26"/>
        <v>241.8</v>
      </c>
      <c r="L395" s="34">
        <f t="shared" si="26"/>
        <v>0.8422599999999999</v>
      </c>
      <c r="M395" s="7">
        <f t="shared" si="26"/>
        <v>65.228000000000009</v>
      </c>
      <c r="N395" s="7">
        <f t="shared" si="26"/>
        <v>72.937799999999996</v>
      </c>
      <c r="O395" s="35">
        <f t="shared" si="26"/>
        <v>233.6</v>
      </c>
      <c r="P395" s="34">
        <f t="shared" si="26"/>
        <v>0.78709999999999991</v>
      </c>
      <c r="Q395" s="7">
        <f t="shared" si="26"/>
        <v>69.368000000000009</v>
      </c>
      <c r="R395" s="7">
        <f t="shared" si="26"/>
        <v>74.897799999999989</v>
      </c>
      <c r="S395" s="35">
        <f t="shared" si="26"/>
        <v>309</v>
      </c>
      <c r="T395" s="34">
        <f t="shared" si="26"/>
        <v>0.73062000000000005</v>
      </c>
      <c r="U395" s="7">
        <f t="shared" si="26"/>
        <v>69.094000000000008</v>
      </c>
      <c r="V395" s="7">
        <f t="shared" si="26"/>
        <v>74.851400000000012</v>
      </c>
      <c r="W395" s="35">
        <f t="shared" si="26"/>
        <v>265.2</v>
      </c>
      <c r="X395" s="34">
        <f t="shared" si="26"/>
        <v>0.74212</v>
      </c>
      <c r="Y395" s="7">
        <f t="shared" si="26"/>
        <v>69.53</v>
      </c>
      <c r="Z395" s="7">
        <f t="shared" si="26"/>
        <v>75.060400000000001</v>
      </c>
      <c r="AA395" s="35">
        <f t="shared" si="26"/>
        <v>279</v>
      </c>
      <c r="AB395" s="34">
        <f t="shared" si="26"/>
        <v>0.73499999999999999</v>
      </c>
      <c r="AC395" s="7">
        <f t="shared" si="26"/>
        <v>69.501999999999995</v>
      </c>
      <c r="AD395" s="7">
        <f t="shared" si="26"/>
        <v>75.052600000000012</v>
      </c>
      <c r="AE395" s="35">
        <f t="shared" si="26"/>
        <v>276.60000000000002</v>
      </c>
      <c r="AF395" s="34">
        <f t="shared" si="26"/>
        <v>0.73576000000000008</v>
      </c>
      <c r="AG395" s="7">
        <f t="shared" si="26"/>
        <v>69.495999999999995</v>
      </c>
      <c r="AH395" s="7">
        <f t="shared" si="26"/>
        <v>75.047200000000004</v>
      </c>
      <c r="AI395" s="35">
        <f t="shared" si="26"/>
        <v>277</v>
      </c>
      <c r="AJ395" s="34">
        <f t="shared" si="26"/>
        <v>0.73574000000000006</v>
      </c>
      <c r="AM395" s="1">
        <f>(E395-Q395)*100/E395</f>
        <v>2.4853801169590453</v>
      </c>
      <c r="AN395" s="1">
        <f>(E395-U395)*100/E395</f>
        <v>2.8705578047683136</v>
      </c>
    </row>
    <row r="399" spans="1:40" x14ac:dyDescent="0.2">
      <c r="B399" s="100" t="s">
        <v>23</v>
      </c>
      <c r="C399" s="107" t="s">
        <v>15</v>
      </c>
      <c r="D399" s="108"/>
      <c r="E399" s="108"/>
      <c r="F399" s="108"/>
      <c r="G399" s="108"/>
      <c r="H399" s="111"/>
      <c r="I399" s="103" t="s">
        <v>30</v>
      </c>
      <c r="J399" s="123"/>
      <c r="K399" s="123"/>
      <c r="L399" s="123"/>
      <c r="M399" s="103" t="s">
        <v>31</v>
      </c>
      <c r="N399" s="123"/>
      <c r="O399" s="123"/>
      <c r="P399" s="123"/>
      <c r="Q399" s="103" t="s">
        <v>32</v>
      </c>
      <c r="R399" s="123"/>
      <c r="S399" s="123"/>
      <c r="T399" s="123"/>
      <c r="U399" s="103" t="s">
        <v>33</v>
      </c>
      <c r="V399" s="123"/>
      <c r="W399" s="123"/>
      <c r="X399" s="123"/>
      <c r="Y399" s="103" t="s">
        <v>34</v>
      </c>
      <c r="Z399" s="123"/>
      <c r="AA399" s="123"/>
      <c r="AB399" s="123"/>
      <c r="AC399" s="103" t="s">
        <v>35</v>
      </c>
      <c r="AD399" s="123"/>
      <c r="AE399" s="123"/>
      <c r="AF399" s="123"/>
      <c r="AG399" s="103" t="s">
        <v>36</v>
      </c>
      <c r="AH399" s="123"/>
      <c r="AI399" s="123"/>
      <c r="AJ399" s="123"/>
    </row>
    <row r="400" spans="1:40" x14ac:dyDescent="0.2">
      <c r="B400" s="101"/>
      <c r="C400" s="19" t="s">
        <v>3</v>
      </c>
      <c r="D400" s="1" t="s">
        <v>4</v>
      </c>
      <c r="E400" s="1" t="s">
        <v>6</v>
      </c>
      <c r="F400" s="2" t="s">
        <v>7</v>
      </c>
      <c r="G400" s="1" t="s">
        <v>24</v>
      </c>
      <c r="H400" s="8" t="s">
        <v>25</v>
      </c>
      <c r="I400" s="1" t="s">
        <v>6</v>
      </c>
      <c r="J400" s="2" t="s">
        <v>7</v>
      </c>
      <c r="K400" s="1" t="s">
        <v>24</v>
      </c>
      <c r="L400" s="8" t="s">
        <v>25</v>
      </c>
      <c r="M400" s="1" t="s">
        <v>6</v>
      </c>
      <c r="N400" s="2" t="s">
        <v>7</v>
      </c>
      <c r="O400" s="1" t="s">
        <v>24</v>
      </c>
      <c r="P400" s="8" t="s">
        <v>25</v>
      </c>
      <c r="Q400" s="1" t="s">
        <v>6</v>
      </c>
      <c r="R400" s="2" t="s">
        <v>7</v>
      </c>
      <c r="S400" s="1" t="s">
        <v>24</v>
      </c>
      <c r="T400" s="8" t="s">
        <v>25</v>
      </c>
      <c r="U400" s="1" t="s">
        <v>6</v>
      </c>
      <c r="V400" s="2" t="s">
        <v>7</v>
      </c>
      <c r="W400" s="1" t="s">
        <v>24</v>
      </c>
      <c r="X400" s="8" t="s">
        <v>25</v>
      </c>
      <c r="Y400" s="1" t="s">
        <v>6</v>
      </c>
      <c r="Z400" s="2" t="s">
        <v>7</v>
      </c>
      <c r="AA400" s="1" t="s">
        <v>24</v>
      </c>
      <c r="AB400" s="8" t="s">
        <v>25</v>
      </c>
      <c r="AC400" s="1" t="s">
        <v>6</v>
      </c>
      <c r="AD400" s="2" t="s">
        <v>7</v>
      </c>
      <c r="AE400" s="1" t="s">
        <v>24</v>
      </c>
      <c r="AF400" s="8" t="s">
        <v>25</v>
      </c>
      <c r="AG400" s="1" t="s">
        <v>6</v>
      </c>
      <c r="AH400" s="2" t="s">
        <v>7</v>
      </c>
      <c r="AI400" s="1" t="s">
        <v>24</v>
      </c>
      <c r="AJ400" s="8" t="s">
        <v>25</v>
      </c>
    </row>
    <row r="401" spans="2:41" x14ac:dyDescent="0.2">
      <c r="B401" s="102">
        <v>1</v>
      </c>
      <c r="C401" s="104">
        <v>8</v>
      </c>
      <c r="D401" s="28">
        <v>13</v>
      </c>
      <c r="E401" s="25">
        <v>73.06</v>
      </c>
      <c r="F401" s="1">
        <v>71.528999999999996</v>
      </c>
      <c r="G401" s="25">
        <v>1293</v>
      </c>
      <c r="H401" s="36">
        <v>0.44612000000000002</v>
      </c>
      <c r="I401" s="51">
        <v>70.162499999999994</v>
      </c>
      <c r="J401" s="1">
        <v>63.529000000000003</v>
      </c>
      <c r="K401" s="25">
        <v>1921</v>
      </c>
      <c r="L401" s="36">
        <v>0.31812000000000001</v>
      </c>
      <c r="M401" s="25">
        <v>73.3</v>
      </c>
      <c r="N401" s="1">
        <v>70.635000000000005</v>
      </c>
      <c r="O401" s="25">
        <v>1431</v>
      </c>
      <c r="P401" s="36">
        <v>0.40925</v>
      </c>
      <c r="Q401" s="51">
        <v>72.987499999999997</v>
      </c>
      <c r="R401" s="4">
        <v>71.358999999999995</v>
      </c>
      <c r="S401" s="25">
        <v>1308</v>
      </c>
      <c r="T401" s="36">
        <v>0.44312000000000001</v>
      </c>
      <c r="U401" s="51">
        <v>73.150000000000006</v>
      </c>
      <c r="V401" s="4">
        <v>71.751999999999995</v>
      </c>
      <c r="W401" s="25">
        <v>1272</v>
      </c>
      <c r="X401" s="36">
        <v>0.45050000000000001</v>
      </c>
      <c r="Y401" s="51">
        <v>73.0625</v>
      </c>
      <c r="Z401" s="4">
        <v>71.528999999999996</v>
      </c>
      <c r="AA401" s="25">
        <v>1293</v>
      </c>
      <c r="AB401" s="36">
        <v>0.44612000000000002</v>
      </c>
      <c r="AC401" s="51">
        <v>73.0625</v>
      </c>
      <c r="AD401" s="4">
        <v>71.528999999999996</v>
      </c>
      <c r="AE401" s="25">
        <v>1293</v>
      </c>
      <c r="AF401" s="36">
        <v>0.44612000000000002</v>
      </c>
      <c r="AG401" s="51">
        <v>73.075000000000003</v>
      </c>
      <c r="AH401" s="4">
        <v>71.537999999999997</v>
      </c>
      <c r="AI401" s="25">
        <v>1293</v>
      </c>
      <c r="AJ401" s="36">
        <v>0.44600000000000001</v>
      </c>
      <c r="AL401" s="84"/>
      <c r="AM401" s="84"/>
      <c r="AO401" s="85"/>
    </row>
    <row r="402" spans="2:41" x14ac:dyDescent="0.2">
      <c r="B402" s="103"/>
      <c r="C402" s="105"/>
      <c r="D402" s="29">
        <v>21</v>
      </c>
      <c r="E402" s="4">
        <v>70.47</v>
      </c>
      <c r="F402" s="4">
        <v>68.682000000000002</v>
      </c>
      <c r="G402" s="1">
        <v>1410</v>
      </c>
      <c r="H402" s="33">
        <v>0.44274999999999998</v>
      </c>
      <c r="I402" s="4">
        <v>52.887500000000003</v>
      </c>
      <c r="J402" s="4">
        <v>11.045999999999999</v>
      </c>
      <c r="K402" s="1">
        <v>3766</v>
      </c>
      <c r="L402" s="33">
        <v>2.962E-2</v>
      </c>
      <c r="M402" s="4">
        <v>70.2</v>
      </c>
      <c r="N402" s="4">
        <v>66.412999999999997</v>
      </c>
      <c r="O402" s="1">
        <v>1643</v>
      </c>
      <c r="P402" s="33">
        <v>0.38724999999999998</v>
      </c>
      <c r="Q402" s="4">
        <v>70.45</v>
      </c>
      <c r="R402" s="4">
        <v>68.664000000000001</v>
      </c>
      <c r="S402" s="1">
        <v>1410</v>
      </c>
      <c r="T402" s="33">
        <v>0.443</v>
      </c>
      <c r="U402" s="4">
        <v>70.487499999999997</v>
      </c>
      <c r="V402" s="4">
        <v>68.698999999999998</v>
      </c>
      <c r="W402" s="1">
        <v>1409</v>
      </c>
      <c r="X402" s="33">
        <v>0.44288</v>
      </c>
      <c r="Y402" s="4">
        <v>70.462500000000006</v>
      </c>
      <c r="Z402" s="4">
        <v>68.722999999999999</v>
      </c>
      <c r="AA402" s="1">
        <v>1404</v>
      </c>
      <c r="AB402" s="33">
        <v>0.44438</v>
      </c>
      <c r="AC402" s="4">
        <v>70.462500000000006</v>
      </c>
      <c r="AD402" s="4">
        <v>68.69</v>
      </c>
      <c r="AE402" s="1">
        <v>1408</v>
      </c>
      <c r="AF402" s="33">
        <v>0.44338</v>
      </c>
      <c r="AG402" s="4">
        <v>70.474999999999994</v>
      </c>
      <c r="AH402" s="4">
        <v>68.682000000000002</v>
      </c>
      <c r="AI402" s="1">
        <v>1410</v>
      </c>
      <c r="AJ402" s="33">
        <v>0.44274999999999998</v>
      </c>
      <c r="AL402" s="84"/>
      <c r="AM402" s="84"/>
      <c r="AO402" s="85"/>
    </row>
    <row r="403" spans="2:41" x14ac:dyDescent="0.2">
      <c r="B403" s="103"/>
      <c r="C403" s="105"/>
      <c r="D403" s="29">
        <v>47</v>
      </c>
      <c r="E403" s="4">
        <v>72.260000000000005</v>
      </c>
      <c r="F403" s="4">
        <v>70.613</v>
      </c>
      <c r="G403" s="1">
        <v>1334</v>
      </c>
      <c r="H403" s="33">
        <v>0.44388</v>
      </c>
      <c r="I403" s="4">
        <v>66.974999999999994</v>
      </c>
      <c r="J403" s="4">
        <v>71.947000000000003</v>
      </c>
      <c r="K403" s="1">
        <v>612</v>
      </c>
      <c r="L403" s="33">
        <v>0.67725000000000002</v>
      </c>
      <c r="M403" s="4">
        <v>64.900000000000006</v>
      </c>
      <c r="N403" s="4">
        <v>71.188000000000002</v>
      </c>
      <c r="O403" s="1">
        <v>531</v>
      </c>
      <c r="P403" s="33">
        <v>0.71825000000000006</v>
      </c>
      <c r="Q403" s="4">
        <v>71.787499999999994</v>
      </c>
      <c r="R403" s="4">
        <v>68.787000000000006</v>
      </c>
      <c r="S403" s="1">
        <v>1513</v>
      </c>
      <c r="T403" s="33">
        <v>0.40387000000000001</v>
      </c>
      <c r="U403" s="4">
        <v>72.237499999999997</v>
      </c>
      <c r="V403" s="4">
        <v>70.578999999999994</v>
      </c>
      <c r="W403" s="1">
        <v>1336</v>
      </c>
      <c r="X403" s="33">
        <v>0.44362000000000001</v>
      </c>
      <c r="Y403" s="4">
        <v>72.275000000000006</v>
      </c>
      <c r="Z403" s="4">
        <v>70.606999999999999</v>
      </c>
      <c r="AA403" s="1">
        <v>1336</v>
      </c>
      <c r="AB403" s="33">
        <v>0.44324999999999998</v>
      </c>
      <c r="AC403" s="4">
        <v>72.237499999999997</v>
      </c>
      <c r="AD403" s="4">
        <v>70.578999999999994</v>
      </c>
      <c r="AE403" s="1">
        <v>1336</v>
      </c>
      <c r="AF403" s="33">
        <v>0.44362000000000001</v>
      </c>
      <c r="AG403" s="4">
        <v>72.237499999999997</v>
      </c>
      <c r="AH403" s="4">
        <v>70.578999999999994</v>
      </c>
      <c r="AI403" s="1">
        <v>1336</v>
      </c>
      <c r="AJ403" s="33">
        <v>0.44362000000000001</v>
      </c>
      <c r="AL403" s="84"/>
      <c r="AM403" s="84"/>
      <c r="AO403" s="85"/>
    </row>
    <row r="404" spans="2:41" x14ac:dyDescent="0.2">
      <c r="B404" s="103"/>
      <c r="C404" s="105"/>
      <c r="D404" s="29">
        <v>50</v>
      </c>
      <c r="E404" s="4">
        <v>72.58</v>
      </c>
      <c r="F404" s="4">
        <v>72.001000000000005</v>
      </c>
      <c r="G404" s="1">
        <v>1179</v>
      </c>
      <c r="H404" s="33">
        <v>0.47949999999999998</v>
      </c>
      <c r="I404" s="4">
        <v>52.8</v>
      </c>
      <c r="J404" s="4">
        <v>10.943</v>
      </c>
      <c r="K404" s="1">
        <v>3768</v>
      </c>
      <c r="L404" s="33">
        <v>0.03</v>
      </c>
      <c r="M404" s="4">
        <v>65.712500000000006</v>
      </c>
      <c r="N404" s="4">
        <v>72.301000000000002</v>
      </c>
      <c r="O404" s="1">
        <v>420</v>
      </c>
      <c r="P404" s="33">
        <v>0.73787000000000003</v>
      </c>
      <c r="Q404" s="4">
        <v>72.387500000000003</v>
      </c>
      <c r="R404" s="4">
        <v>70.822999999999993</v>
      </c>
      <c r="S404" s="1">
        <v>1319</v>
      </c>
      <c r="T404" s="33">
        <v>0.44638</v>
      </c>
      <c r="U404" s="4">
        <v>72.125</v>
      </c>
      <c r="V404" s="4">
        <v>72.125</v>
      </c>
      <c r="W404" s="1">
        <v>1115</v>
      </c>
      <c r="X404" s="33">
        <v>0.5</v>
      </c>
      <c r="Y404" s="4">
        <v>72.575000000000003</v>
      </c>
      <c r="Z404" s="4">
        <v>72.03</v>
      </c>
      <c r="AA404" s="1">
        <v>1175</v>
      </c>
      <c r="AB404" s="33">
        <v>0.48049999999999998</v>
      </c>
      <c r="AC404" s="4">
        <v>72.587500000000006</v>
      </c>
      <c r="AD404" s="4">
        <v>72.016999999999996</v>
      </c>
      <c r="AE404" s="1">
        <v>1178</v>
      </c>
      <c r="AF404" s="33">
        <v>0.47963</v>
      </c>
      <c r="AG404" s="4">
        <v>72.587500000000006</v>
      </c>
      <c r="AH404" s="4">
        <v>72.016999999999996</v>
      </c>
      <c r="AI404" s="1">
        <v>1178</v>
      </c>
      <c r="AJ404" s="33">
        <v>0.47963</v>
      </c>
      <c r="AL404" s="84"/>
      <c r="AM404" s="84"/>
      <c r="AO404" s="85"/>
    </row>
    <row r="405" spans="2:41" x14ac:dyDescent="0.2">
      <c r="B405" s="103"/>
      <c r="C405" s="105"/>
      <c r="D405" s="30">
        <v>91</v>
      </c>
      <c r="E405" s="27">
        <v>72.959999999999994</v>
      </c>
      <c r="F405" s="27">
        <v>71.543000000000006</v>
      </c>
      <c r="G405" s="26">
        <v>1281</v>
      </c>
      <c r="H405" s="52">
        <v>0.45012000000000002</v>
      </c>
      <c r="I405" s="27">
        <v>50.075000000000003</v>
      </c>
      <c r="J405" s="27">
        <v>66.688999999999993</v>
      </c>
      <c r="K405" s="26">
        <v>2</v>
      </c>
      <c r="L405" s="52">
        <v>0.99875000000000003</v>
      </c>
      <c r="M405" s="27">
        <v>71.2</v>
      </c>
      <c r="N405" s="27">
        <v>65.703999999999994</v>
      </c>
      <c r="O405" s="26">
        <v>1793</v>
      </c>
      <c r="P405" s="52">
        <v>0.33975</v>
      </c>
      <c r="Q405" s="27">
        <v>73</v>
      </c>
      <c r="R405" s="27">
        <v>71.245999999999995</v>
      </c>
      <c r="S405" s="26">
        <v>1324</v>
      </c>
      <c r="T405" s="52">
        <v>0.439</v>
      </c>
      <c r="U405" s="27">
        <v>73.025000000000006</v>
      </c>
      <c r="V405" s="27">
        <v>71.462999999999994</v>
      </c>
      <c r="W405" s="26">
        <v>1298</v>
      </c>
      <c r="X405" s="52">
        <v>0.44524999999999998</v>
      </c>
      <c r="Y405" s="27">
        <v>73</v>
      </c>
      <c r="Z405" s="27">
        <v>71.631</v>
      </c>
      <c r="AA405" s="26">
        <v>1273</v>
      </c>
      <c r="AB405" s="52">
        <v>0.45174999999999998</v>
      </c>
      <c r="AC405" s="27">
        <v>73.025000000000006</v>
      </c>
      <c r="AD405" s="27">
        <v>71.643000000000001</v>
      </c>
      <c r="AE405" s="26">
        <v>1274</v>
      </c>
      <c r="AF405" s="52">
        <v>0.45124999999999998</v>
      </c>
      <c r="AG405" s="27">
        <v>72.974999999999994</v>
      </c>
      <c r="AH405" s="27">
        <v>71.56</v>
      </c>
      <c r="AI405" s="26">
        <v>1280</v>
      </c>
      <c r="AJ405" s="52">
        <v>0.45024999999999998</v>
      </c>
      <c r="AL405" s="84"/>
      <c r="AM405" s="84"/>
      <c r="AO405" s="85"/>
    </row>
    <row r="406" spans="2:41" x14ac:dyDescent="0.2">
      <c r="B406" s="101"/>
      <c r="C406" s="105"/>
      <c r="D406" s="6" t="s">
        <v>8</v>
      </c>
      <c r="E406" s="7">
        <f t="shared" ref="E406:AJ406" si="27">AVERAGE(E401:E405)</f>
        <v>72.265999999999991</v>
      </c>
      <c r="F406" s="7">
        <f t="shared" si="27"/>
        <v>70.87360000000001</v>
      </c>
      <c r="G406" s="35">
        <f t="shared" si="27"/>
        <v>1299.4000000000001</v>
      </c>
      <c r="H406" s="34">
        <f t="shared" si="27"/>
        <v>0.45247400000000004</v>
      </c>
      <c r="I406" s="7">
        <f t="shared" si="27"/>
        <v>58.58</v>
      </c>
      <c r="J406" s="7">
        <f t="shared" si="27"/>
        <v>44.830799999999996</v>
      </c>
      <c r="K406" s="35">
        <f t="shared" si="27"/>
        <v>2013.8</v>
      </c>
      <c r="L406" s="34">
        <f t="shared" si="27"/>
        <v>0.41074800000000006</v>
      </c>
      <c r="M406" s="7">
        <f t="shared" si="27"/>
        <v>69.0625</v>
      </c>
      <c r="N406" s="7">
        <f t="shared" si="27"/>
        <v>69.248199999999997</v>
      </c>
      <c r="O406" s="35">
        <f t="shared" si="27"/>
        <v>1163.5999999999999</v>
      </c>
      <c r="P406" s="34">
        <f t="shared" si="27"/>
        <v>0.5184740000000001</v>
      </c>
      <c r="Q406" s="7">
        <f t="shared" si="27"/>
        <v>72.122500000000002</v>
      </c>
      <c r="R406" s="7">
        <f t="shared" si="27"/>
        <v>70.175799999999995</v>
      </c>
      <c r="S406" s="35">
        <f t="shared" si="27"/>
        <v>1374.8</v>
      </c>
      <c r="T406" s="34">
        <f t="shared" si="27"/>
        <v>0.43507400000000002</v>
      </c>
      <c r="U406" s="7">
        <f t="shared" si="27"/>
        <v>72.204999999999998</v>
      </c>
      <c r="V406" s="7">
        <f t="shared" si="27"/>
        <v>70.923599999999993</v>
      </c>
      <c r="W406" s="35">
        <f t="shared" si="27"/>
        <v>1286</v>
      </c>
      <c r="X406" s="34">
        <f t="shared" si="27"/>
        <v>0.45645000000000008</v>
      </c>
      <c r="Y406" s="7">
        <f t="shared" si="27"/>
        <v>72.275000000000006</v>
      </c>
      <c r="Z406" s="7">
        <f t="shared" si="27"/>
        <v>70.903999999999996</v>
      </c>
      <c r="AA406" s="35">
        <f t="shared" si="27"/>
        <v>1296.2</v>
      </c>
      <c r="AB406" s="34">
        <f t="shared" si="27"/>
        <v>0.45319999999999999</v>
      </c>
      <c r="AC406" s="7">
        <f t="shared" si="27"/>
        <v>72.275000000000006</v>
      </c>
      <c r="AD406" s="7">
        <f t="shared" si="27"/>
        <v>70.891599999999997</v>
      </c>
      <c r="AE406" s="35">
        <f t="shared" si="27"/>
        <v>1297.8</v>
      </c>
      <c r="AF406" s="34">
        <f t="shared" si="27"/>
        <v>0.45280000000000004</v>
      </c>
      <c r="AG406" s="7">
        <f t="shared" si="27"/>
        <v>72.27000000000001</v>
      </c>
      <c r="AH406" s="7">
        <f t="shared" si="27"/>
        <v>70.875199999999992</v>
      </c>
      <c r="AI406" s="35">
        <f t="shared" si="27"/>
        <v>1299.4000000000001</v>
      </c>
      <c r="AJ406" s="34">
        <f t="shared" si="27"/>
        <v>0.45244999999999996</v>
      </c>
      <c r="AM406" s="1">
        <f>(E406-Q406)*100/E406</f>
        <v>0.19857194254558005</v>
      </c>
      <c r="AN406" s="1">
        <f>(E406-U406)*100/E406</f>
        <v>8.4410372789406982E-2</v>
      </c>
      <c r="AO406" s="85"/>
    </row>
    <row r="407" spans="2:41" x14ac:dyDescent="0.2">
      <c r="B407" s="104">
        <v>1.2</v>
      </c>
      <c r="C407" s="105"/>
      <c r="D407" s="28">
        <v>13</v>
      </c>
      <c r="E407" s="25">
        <v>71.86</v>
      </c>
      <c r="F407" s="25">
        <v>73.465000000000003</v>
      </c>
      <c r="G407" s="25">
        <v>884</v>
      </c>
      <c r="H407" s="36">
        <v>0.56037000000000003</v>
      </c>
      <c r="I407" s="51">
        <v>56.037500000000001</v>
      </c>
      <c r="J407" s="1">
        <v>68.594999999999999</v>
      </c>
      <c r="K407" s="25">
        <v>159</v>
      </c>
      <c r="L407" s="36">
        <v>0.89986999999999995</v>
      </c>
      <c r="M407" s="51">
        <v>69.087500000000006</v>
      </c>
      <c r="N407" s="1">
        <v>72.992999999999995</v>
      </c>
      <c r="O407" s="25">
        <v>658</v>
      </c>
      <c r="P407" s="36">
        <v>0.64463000000000004</v>
      </c>
      <c r="Q407" s="51">
        <v>72</v>
      </c>
      <c r="R407" s="4">
        <v>73.332999999999998</v>
      </c>
      <c r="S407" s="25">
        <v>920</v>
      </c>
      <c r="T407" s="36">
        <v>0.55000000000000004</v>
      </c>
      <c r="U407" s="51">
        <v>71.9375</v>
      </c>
      <c r="V407" s="4">
        <v>73.492000000000004</v>
      </c>
      <c r="W407" s="25">
        <v>888</v>
      </c>
      <c r="X407" s="36">
        <v>0.55862999999999996</v>
      </c>
      <c r="Y407" s="51">
        <v>71.875</v>
      </c>
      <c r="Z407" s="4">
        <v>73.486000000000004</v>
      </c>
      <c r="AA407" s="25">
        <v>882</v>
      </c>
      <c r="AB407" s="36">
        <v>0.56074999999999997</v>
      </c>
      <c r="AC407" s="51">
        <v>71.862499999999997</v>
      </c>
      <c r="AD407" s="4">
        <v>73.465000000000003</v>
      </c>
      <c r="AE407" s="25">
        <v>884</v>
      </c>
      <c r="AF407" s="36">
        <v>0.56037000000000003</v>
      </c>
      <c r="AG407" s="51">
        <v>71.862499999999997</v>
      </c>
      <c r="AH407" s="4">
        <v>73.465000000000003</v>
      </c>
      <c r="AI407" s="25">
        <v>884</v>
      </c>
      <c r="AJ407" s="36">
        <v>0.56037000000000003</v>
      </c>
      <c r="AL407" s="84"/>
      <c r="AM407" s="84"/>
      <c r="AO407" s="85"/>
    </row>
    <row r="408" spans="2:41" x14ac:dyDescent="0.2">
      <c r="B408" s="105"/>
      <c r="C408" s="105"/>
      <c r="D408" s="29">
        <v>21</v>
      </c>
      <c r="E408" s="4">
        <v>69.650000000000006</v>
      </c>
      <c r="F408" s="4">
        <v>70.433999999999997</v>
      </c>
      <c r="G408" s="1">
        <v>1108</v>
      </c>
      <c r="H408" s="33">
        <v>0.52649999999999997</v>
      </c>
      <c r="I408" s="4">
        <v>65.912499999999994</v>
      </c>
      <c r="J408" s="4">
        <v>70.591999999999999</v>
      </c>
      <c r="K408" s="1">
        <v>727</v>
      </c>
      <c r="L408" s="33">
        <v>0.65912000000000004</v>
      </c>
      <c r="M408" s="4">
        <v>70.162499999999994</v>
      </c>
      <c r="N408" s="4">
        <v>65.748000000000005</v>
      </c>
      <c r="O408" s="1">
        <v>1709</v>
      </c>
      <c r="P408" s="33">
        <v>0.37112000000000001</v>
      </c>
      <c r="Q408" s="4">
        <v>69.637500000000003</v>
      </c>
      <c r="R408" s="4">
        <v>70.367000000000004</v>
      </c>
      <c r="S408" s="1">
        <v>1116</v>
      </c>
      <c r="T408" s="33">
        <v>0.52463000000000004</v>
      </c>
      <c r="U408" s="4">
        <v>69.650000000000006</v>
      </c>
      <c r="V408" s="4">
        <v>70.382999999999996</v>
      </c>
      <c r="W408" s="1">
        <v>1115</v>
      </c>
      <c r="X408" s="33">
        <v>0.52475000000000005</v>
      </c>
      <c r="Y408" s="4">
        <v>69.637500000000003</v>
      </c>
      <c r="Z408" s="4">
        <v>70.468000000000004</v>
      </c>
      <c r="AA408" s="1">
        <v>1102</v>
      </c>
      <c r="AB408" s="33">
        <v>0.52812000000000003</v>
      </c>
      <c r="AC408" s="4">
        <v>69.662499999999994</v>
      </c>
      <c r="AD408" s="4">
        <v>70.448999999999998</v>
      </c>
      <c r="AE408" s="1">
        <v>1107</v>
      </c>
      <c r="AF408" s="33">
        <v>0.52663000000000004</v>
      </c>
      <c r="AG408" s="4">
        <v>69.662499999999994</v>
      </c>
      <c r="AH408" s="4">
        <v>70.448999999999998</v>
      </c>
      <c r="AI408" s="1">
        <v>1107</v>
      </c>
      <c r="AJ408" s="33">
        <v>0.52663000000000004</v>
      </c>
      <c r="AL408" s="84"/>
      <c r="AM408" s="84"/>
      <c r="AO408" s="85"/>
    </row>
    <row r="409" spans="2:41" x14ac:dyDescent="0.2">
      <c r="B409" s="105"/>
      <c r="C409" s="105"/>
      <c r="D409" s="29">
        <v>47</v>
      </c>
      <c r="E409" s="4">
        <v>70.94</v>
      </c>
      <c r="F409" s="4">
        <v>71.957999999999998</v>
      </c>
      <c r="G409" s="1">
        <v>1017</v>
      </c>
      <c r="H409" s="33">
        <v>0.53637999999999997</v>
      </c>
      <c r="I409" s="4">
        <v>53.575000000000003</v>
      </c>
      <c r="J409" s="4">
        <v>67.744</v>
      </c>
      <c r="K409" s="1">
        <v>100</v>
      </c>
      <c r="L409" s="33">
        <v>0.93925000000000003</v>
      </c>
      <c r="M409" s="4">
        <v>69.7</v>
      </c>
      <c r="N409" s="4">
        <v>72.566999999999993</v>
      </c>
      <c r="O409" s="1">
        <v>794</v>
      </c>
      <c r="P409" s="33">
        <v>0.60450000000000004</v>
      </c>
      <c r="Q409" s="4">
        <v>71.362499999999997</v>
      </c>
      <c r="R409" s="4">
        <v>71.796000000000006</v>
      </c>
      <c r="S409" s="1">
        <v>1084</v>
      </c>
      <c r="T409" s="33">
        <v>0.51537999999999995</v>
      </c>
      <c r="U409" s="4">
        <v>70.849999999999994</v>
      </c>
      <c r="V409" s="4">
        <v>72.052000000000007</v>
      </c>
      <c r="W409" s="1">
        <v>994</v>
      </c>
      <c r="X409" s="33">
        <v>0.54300000000000004</v>
      </c>
      <c r="Y409" s="4">
        <v>70.875</v>
      </c>
      <c r="Z409" s="4">
        <v>71.921000000000006</v>
      </c>
      <c r="AA409" s="1">
        <v>1016</v>
      </c>
      <c r="AB409" s="33">
        <v>0.53725000000000001</v>
      </c>
      <c r="AC409" s="4">
        <v>70.95</v>
      </c>
      <c r="AD409" s="4">
        <v>71.965999999999994</v>
      </c>
      <c r="AE409" s="1">
        <v>1017</v>
      </c>
      <c r="AF409" s="33">
        <v>0.53625</v>
      </c>
      <c r="AG409" s="4">
        <v>70.9375</v>
      </c>
      <c r="AH409" s="4">
        <v>71.957999999999998</v>
      </c>
      <c r="AI409" s="1">
        <v>1017</v>
      </c>
      <c r="AJ409" s="33">
        <v>0.53637999999999997</v>
      </c>
      <c r="AL409" s="84"/>
      <c r="AM409" s="84"/>
      <c r="AO409" s="85"/>
    </row>
    <row r="410" spans="2:41" x14ac:dyDescent="0.2">
      <c r="B410" s="105"/>
      <c r="C410" s="105"/>
      <c r="D410" s="29">
        <v>50</v>
      </c>
      <c r="E410" s="4">
        <v>72.12</v>
      </c>
      <c r="F410" s="4">
        <v>72.25</v>
      </c>
      <c r="G410" s="1">
        <v>1097</v>
      </c>
      <c r="H410" s="33">
        <v>0.50449999999999995</v>
      </c>
      <c r="I410" s="4">
        <v>65.662499999999994</v>
      </c>
      <c r="J410" s="4">
        <v>53.496000000000002</v>
      </c>
      <c r="K410" s="1">
        <v>2420</v>
      </c>
      <c r="L410" s="33">
        <v>0.23838000000000001</v>
      </c>
      <c r="M410" s="4">
        <v>72.174999999999997</v>
      </c>
      <c r="N410" s="4">
        <v>69.846000000000004</v>
      </c>
      <c r="O410" s="1">
        <v>1422</v>
      </c>
      <c r="P410" s="33">
        <v>0.42275000000000001</v>
      </c>
      <c r="Q410" s="4">
        <v>72.412499999999994</v>
      </c>
      <c r="R410" s="4">
        <v>71.966999999999999</v>
      </c>
      <c r="S410" s="1">
        <v>1167</v>
      </c>
      <c r="T410" s="33">
        <v>0.48413</v>
      </c>
      <c r="U410" s="4">
        <v>72.362499999999997</v>
      </c>
      <c r="V410" s="4">
        <v>72.087000000000003</v>
      </c>
      <c r="W410" s="1">
        <v>1145</v>
      </c>
      <c r="X410" s="33">
        <v>0.49012</v>
      </c>
      <c r="Y410" s="4">
        <v>72.125</v>
      </c>
      <c r="Z410" s="4">
        <v>72.228999999999999</v>
      </c>
      <c r="AA410" s="1">
        <v>1100</v>
      </c>
      <c r="AB410" s="33">
        <v>0.50375000000000003</v>
      </c>
      <c r="AC410" s="4">
        <v>72.125</v>
      </c>
      <c r="AD410" s="4">
        <v>72.25</v>
      </c>
      <c r="AE410" s="1">
        <v>1097</v>
      </c>
      <c r="AF410" s="33">
        <v>0.50449999999999995</v>
      </c>
      <c r="AG410" s="4">
        <v>72.125</v>
      </c>
      <c r="AH410" s="4">
        <v>72.25</v>
      </c>
      <c r="AI410" s="1">
        <v>1097</v>
      </c>
      <c r="AJ410" s="33">
        <v>0.50449999999999995</v>
      </c>
      <c r="AL410" s="84"/>
      <c r="AM410" s="84"/>
      <c r="AO410" s="85"/>
    </row>
    <row r="411" spans="2:41" x14ac:dyDescent="0.2">
      <c r="B411" s="105"/>
      <c r="C411" s="105"/>
      <c r="D411" s="30">
        <v>91</v>
      </c>
      <c r="E411" s="27">
        <v>72.709999999999994</v>
      </c>
      <c r="F411" s="27">
        <v>72.418999999999997</v>
      </c>
      <c r="G411" s="26">
        <v>1134</v>
      </c>
      <c r="H411" s="52">
        <v>0.48937999999999998</v>
      </c>
      <c r="I411" s="27">
        <v>50.225000000000001</v>
      </c>
      <c r="J411" s="27">
        <v>66.745000000000005</v>
      </c>
      <c r="K411" s="26">
        <v>4</v>
      </c>
      <c r="L411" s="52">
        <v>0.99675000000000002</v>
      </c>
      <c r="M411" s="27">
        <v>72.9375</v>
      </c>
      <c r="N411" s="27">
        <v>72.346000000000004</v>
      </c>
      <c r="O411" s="26">
        <v>1168</v>
      </c>
      <c r="P411" s="52">
        <v>0.47863</v>
      </c>
      <c r="Q411" s="27">
        <v>72.7</v>
      </c>
      <c r="R411" s="27">
        <v>71.731999999999999</v>
      </c>
      <c r="S411" s="26">
        <v>1229</v>
      </c>
      <c r="T411" s="52">
        <v>0.46575</v>
      </c>
      <c r="U411" s="27">
        <v>72.775000000000006</v>
      </c>
      <c r="V411" s="27">
        <v>72.450999999999993</v>
      </c>
      <c r="W411" s="26">
        <v>1136</v>
      </c>
      <c r="X411" s="52">
        <v>0.48825000000000002</v>
      </c>
      <c r="Y411" s="27">
        <v>72.75</v>
      </c>
      <c r="Z411" s="27">
        <v>72.418999999999997</v>
      </c>
      <c r="AA411" s="26">
        <v>1138</v>
      </c>
      <c r="AB411" s="52">
        <v>0.48799999999999999</v>
      </c>
      <c r="AC411" s="27">
        <v>72.75</v>
      </c>
      <c r="AD411" s="27">
        <v>72.418999999999997</v>
      </c>
      <c r="AE411" s="26">
        <v>1138</v>
      </c>
      <c r="AF411" s="52">
        <v>0.48799999999999999</v>
      </c>
      <c r="AG411" s="27">
        <v>72.724999999999994</v>
      </c>
      <c r="AH411" s="27">
        <v>72.436000000000007</v>
      </c>
      <c r="AI411" s="26">
        <v>1133</v>
      </c>
      <c r="AJ411" s="52">
        <v>0.48949999999999999</v>
      </c>
      <c r="AL411" s="84"/>
      <c r="AM411" s="84"/>
      <c r="AO411" s="85"/>
    </row>
    <row r="412" spans="2:41" x14ac:dyDescent="0.2">
      <c r="B412" s="106"/>
      <c r="C412" s="105"/>
      <c r="D412" s="6" t="s">
        <v>8</v>
      </c>
      <c r="E412" s="7">
        <f t="shared" ref="E412:AJ412" si="28">AVERAGE(E407:E411)</f>
        <v>71.455999999999989</v>
      </c>
      <c r="F412" s="7">
        <f t="shared" si="28"/>
        <v>72.105199999999996</v>
      </c>
      <c r="G412" s="35">
        <f t="shared" si="28"/>
        <v>1048</v>
      </c>
      <c r="H412" s="34">
        <f t="shared" si="28"/>
        <v>0.52342599999999995</v>
      </c>
      <c r="I412" s="7">
        <f t="shared" si="28"/>
        <v>58.282499999999992</v>
      </c>
      <c r="J412" s="7">
        <f t="shared" si="28"/>
        <v>65.434400000000011</v>
      </c>
      <c r="K412" s="35">
        <f t="shared" si="28"/>
        <v>682</v>
      </c>
      <c r="L412" s="34">
        <f t="shared" si="28"/>
        <v>0.74667399999999995</v>
      </c>
      <c r="M412" s="7">
        <f t="shared" si="28"/>
        <v>70.8125</v>
      </c>
      <c r="N412" s="7">
        <f t="shared" si="28"/>
        <v>70.7</v>
      </c>
      <c r="O412" s="35">
        <f t="shared" si="28"/>
        <v>1150.2</v>
      </c>
      <c r="P412" s="34">
        <f t="shared" si="28"/>
        <v>0.50432600000000005</v>
      </c>
      <c r="Q412" s="7">
        <f t="shared" si="28"/>
        <v>71.622500000000002</v>
      </c>
      <c r="R412" s="7">
        <f t="shared" si="28"/>
        <v>71.838999999999984</v>
      </c>
      <c r="S412" s="35">
        <f t="shared" si="28"/>
        <v>1103.2</v>
      </c>
      <c r="T412" s="34">
        <f t="shared" si="28"/>
        <v>0.50797799999999993</v>
      </c>
      <c r="U412" s="7">
        <f t="shared" si="28"/>
        <v>71.515000000000015</v>
      </c>
      <c r="V412" s="7">
        <f t="shared" si="28"/>
        <v>72.093000000000004</v>
      </c>
      <c r="W412" s="35">
        <f t="shared" si="28"/>
        <v>1055.5999999999999</v>
      </c>
      <c r="X412" s="34">
        <f t="shared" si="28"/>
        <v>0.52095000000000002</v>
      </c>
      <c r="Y412" s="7">
        <f t="shared" si="28"/>
        <v>71.452500000000001</v>
      </c>
      <c r="Z412" s="7">
        <f t="shared" si="28"/>
        <v>72.104599999999991</v>
      </c>
      <c r="AA412" s="35">
        <f t="shared" si="28"/>
        <v>1047.5999999999999</v>
      </c>
      <c r="AB412" s="34">
        <f t="shared" si="28"/>
        <v>0.52357399999999998</v>
      </c>
      <c r="AC412" s="7">
        <f t="shared" si="28"/>
        <v>71.47</v>
      </c>
      <c r="AD412" s="7">
        <f t="shared" si="28"/>
        <v>72.109799999999993</v>
      </c>
      <c r="AE412" s="35">
        <f t="shared" si="28"/>
        <v>1048.5999999999999</v>
      </c>
      <c r="AF412" s="34">
        <f t="shared" si="28"/>
        <v>0.52315</v>
      </c>
      <c r="AG412" s="7">
        <f t="shared" si="28"/>
        <v>71.462500000000006</v>
      </c>
      <c r="AH412" s="7">
        <f t="shared" si="28"/>
        <v>72.111599999999996</v>
      </c>
      <c r="AI412" s="35">
        <f t="shared" si="28"/>
        <v>1047.5999999999999</v>
      </c>
      <c r="AJ412" s="34">
        <f t="shared" si="28"/>
        <v>0.52347600000000005</v>
      </c>
      <c r="AL412" s="84"/>
      <c r="AM412" s="1">
        <f>(E412-Q412)*100/E412</f>
        <v>-0.23301052395881863</v>
      </c>
      <c r="AN412" s="1">
        <f>(E412-U412)*100/E412</f>
        <v>-8.256829377522662E-2</v>
      </c>
      <c r="AO412" s="85"/>
    </row>
    <row r="413" spans="2:41" x14ac:dyDescent="0.2">
      <c r="B413" s="104">
        <v>1.4</v>
      </c>
      <c r="C413" s="105"/>
      <c r="D413" s="28">
        <v>13</v>
      </c>
      <c r="E413" s="51">
        <v>63.8125</v>
      </c>
      <c r="F413" s="25">
        <v>71.39</v>
      </c>
      <c r="G413" s="25">
        <v>388</v>
      </c>
      <c r="H413" s="36">
        <v>0.76487000000000005</v>
      </c>
      <c r="I413" s="51">
        <v>52.024999999999999</v>
      </c>
      <c r="J413" s="1">
        <v>67.275000000000006</v>
      </c>
      <c r="K413" s="25">
        <v>55</v>
      </c>
      <c r="L413" s="36">
        <v>0.96599999999999997</v>
      </c>
      <c r="M413" s="51">
        <v>71.262500000000003</v>
      </c>
      <c r="N413" s="1">
        <v>73.710999999999999</v>
      </c>
      <c r="O413" s="25">
        <v>777</v>
      </c>
      <c r="P413" s="36">
        <v>0.59313000000000005</v>
      </c>
      <c r="Q413" s="51">
        <v>63.837499999999999</v>
      </c>
      <c r="R413" s="4">
        <v>71.302000000000007</v>
      </c>
      <c r="S413" s="25">
        <v>406</v>
      </c>
      <c r="T413" s="36">
        <v>0.76012999999999997</v>
      </c>
      <c r="U413" s="51">
        <v>63.7</v>
      </c>
      <c r="V413" s="4">
        <v>71.349999999999994</v>
      </c>
      <c r="W413" s="25">
        <v>384</v>
      </c>
      <c r="X413" s="36">
        <v>0.76700000000000002</v>
      </c>
      <c r="Y413" s="51">
        <v>63.737499999999997</v>
      </c>
      <c r="Z413" s="4">
        <v>71.347999999999999</v>
      </c>
      <c r="AA413" s="25">
        <v>388</v>
      </c>
      <c r="AB413" s="36">
        <v>0.76561999999999997</v>
      </c>
      <c r="AC413" s="51">
        <v>63.837499999999999</v>
      </c>
      <c r="AD413" s="4">
        <v>71.405000000000001</v>
      </c>
      <c r="AE413" s="25">
        <v>388</v>
      </c>
      <c r="AF413" s="36">
        <v>0.76461999999999997</v>
      </c>
      <c r="AG413" s="51">
        <v>63.8</v>
      </c>
      <c r="AH413" s="4">
        <v>71.382999999999996</v>
      </c>
      <c r="AI413" s="25">
        <v>388</v>
      </c>
      <c r="AJ413" s="36">
        <v>0.76500000000000001</v>
      </c>
      <c r="AL413" s="84"/>
      <c r="AM413" s="84"/>
      <c r="AO413" s="85"/>
    </row>
    <row r="414" spans="2:41" x14ac:dyDescent="0.2">
      <c r="B414" s="105"/>
      <c r="C414" s="105"/>
      <c r="D414" s="29">
        <v>21</v>
      </c>
      <c r="E414" s="4">
        <v>63.6</v>
      </c>
      <c r="F414" s="4">
        <v>70.102999999999994</v>
      </c>
      <c r="G414" s="1">
        <v>586</v>
      </c>
      <c r="H414" s="33">
        <v>0.71750000000000003</v>
      </c>
      <c r="I414" s="4">
        <v>50.075000000000003</v>
      </c>
      <c r="J414" s="4">
        <v>66.671999999999997</v>
      </c>
      <c r="K414" s="1">
        <v>5</v>
      </c>
      <c r="L414" s="33">
        <v>0.998</v>
      </c>
      <c r="M414" s="4">
        <v>63.65</v>
      </c>
      <c r="N414" s="4">
        <v>70.198999999999998</v>
      </c>
      <c r="O414" s="1">
        <v>575</v>
      </c>
      <c r="P414" s="33">
        <v>0.71975</v>
      </c>
      <c r="Q414" s="4">
        <v>62.987499999999997</v>
      </c>
      <c r="R414" s="4">
        <v>69.899000000000001</v>
      </c>
      <c r="S414" s="1">
        <v>562</v>
      </c>
      <c r="T414" s="33">
        <v>0.72962000000000005</v>
      </c>
      <c r="U414" s="4">
        <v>63.524999999999999</v>
      </c>
      <c r="V414" s="4">
        <v>70.120999999999995</v>
      </c>
      <c r="W414" s="1">
        <v>576</v>
      </c>
      <c r="X414" s="33">
        <v>0.72075</v>
      </c>
      <c r="Y414" s="4">
        <v>63.612499999999997</v>
      </c>
      <c r="Z414" s="4">
        <v>70.090999999999994</v>
      </c>
      <c r="AA414" s="1">
        <v>589</v>
      </c>
      <c r="AB414" s="33">
        <v>0.71662000000000003</v>
      </c>
      <c r="AC414" s="4">
        <v>63.6</v>
      </c>
      <c r="AD414" s="4">
        <v>70.102999999999994</v>
      </c>
      <c r="AE414" s="1">
        <v>586</v>
      </c>
      <c r="AF414" s="33">
        <v>0.71750000000000003</v>
      </c>
      <c r="AG414" s="4">
        <v>63.6</v>
      </c>
      <c r="AH414" s="4">
        <v>70.102999999999994</v>
      </c>
      <c r="AI414" s="1">
        <v>586</v>
      </c>
      <c r="AJ414" s="33">
        <v>0.71750000000000003</v>
      </c>
      <c r="AL414" s="84"/>
      <c r="AM414" s="84"/>
      <c r="AO414" s="85"/>
    </row>
    <row r="415" spans="2:41" x14ac:dyDescent="0.2">
      <c r="B415" s="105"/>
      <c r="C415" s="105"/>
      <c r="D415" s="29">
        <v>47</v>
      </c>
      <c r="E415" s="4">
        <v>64.56</v>
      </c>
      <c r="F415" s="4">
        <v>71.126999999999995</v>
      </c>
      <c r="G415" s="1">
        <v>508</v>
      </c>
      <c r="H415" s="33">
        <v>0.72736999999999996</v>
      </c>
      <c r="I415" s="4">
        <v>60.674999999999997</v>
      </c>
      <c r="J415" s="4">
        <v>69.680000000000007</v>
      </c>
      <c r="K415" s="1">
        <v>385</v>
      </c>
      <c r="L415" s="33">
        <v>0.79700000000000004</v>
      </c>
      <c r="M415" s="4">
        <v>67</v>
      </c>
      <c r="N415" s="4">
        <v>71.783000000000001</v>
      </c>
      <c r="O415" s="1">
        <v>642</v>
      </c>
      <c r="P415" s="33">
        <v>0.66949999999999998</v>
      </c>
      <c r="Q415" s="4">
        <v>62.912500000000001</v>
      </c>
      <c r="R415" s="4">
        <v>70.626999999999995</v>
      </c>
      <c r="S415" s="1">
        <v>433</v>
      </c>
      <c r="T415" s="33">
        <v>0.76261999999999996</v>
      </c>
      <c r="U415" s="4">
        <v>64.162499999999994</v>
      </c>
      <c r="V415" s="4">
        <v>71.025999999999996</v>
      </c>
      <c r="W415" s="1">
        <v>486</v>
      </c>
      <c r="X415" s="33">
        <v>0.73687000000000002</v>
      </c>
      <c r="Y415" s="4">
        <v>64.487499999999997</v>
      </c>
      <c r="Z415" s="4">
        <v>71.096000000000004</v>
      </c>
      <c r="AA415" s="1">
        <v>506</v>
      </c>
      <c r="AB415" s="33">
        <v>0.72862000000000005</v>
      </c>
      <c r="AC415" s="4">
        <v>64.599999999999994</v>
      </c>
      <c r="AD415" s="4">
        <v>71.126000000000005</v>
      </c>
      <c r="AE415" s="1">
        <v>512</v>
      </c>
      <c r="AF415" s="33">
        <v>0.72599999999999998</v>
      </c>
      <c r="AG415" s="4">
        <v>64.5625</v>
      </c>
      <c r="AH415" s="4">
        <v>71.122</v>
      </c>
      <c r="AI415" s="1">
        <v>509</v>
      </c>
      <c r="AJ415" s="33">
        <v>0.72713000000000005</v>
      </c>
      <c r="AL415" s="84"/>
      <c r="AM415" s="84"/>
      <c r="AO415" s="85"/>
    </row>
    <row r="416" spans="2:41" x14ac:dyDescent="0.2">
      <c r="B416" s="105"/>
      <c r="C416" s="105"/>
      <c r="D416" s="29">
        <v>50</v>
      </c>
      <c r="E416" s="4">
        <v>66</v>
      </c>
      <c r="F416" s="4">
        <v>72.262</v>
      </c>
      <c r="G416" s="1">
        <v>457</v>
      </c>
      <c r="H416" s="33">
        <v>0.72575000000000001</v>
      </c>
      <c r="I416" s="4">
        <v>50</v>
      </c>
      <c r="J416" s="4">
        <v>66.667000000000002</v>
      </c>
      <c r="K416" s="1">
        <v>0</v>
      </c>
      <c r="L416" s="33">
        <v>1</v>
      </c>
      <c r="M416" s="4">
        <v>72.487499999999997</v>
      </c>
      <c r="N416" s="4">
        <v>73.421000000000006</v>
      </c>
      <c r="O416" s="1">
        <v>960</v>
      </c>
      <c r="P416" s="33">
        <v>0.53512000000000004</v>
      </c>
      <c r="Q416" s="4">
        <v>69.099999999999994</v>
      </c>
      <c r="R416" s="4">
        <v>73.113</v>
      </c>
      <c r="S416" s="1">
        <v>639</v>
      </c>
      <c r="T416" s="33">
        <v>0.64924999999999999</v>
      </c>
      <c r="U416" s="4">
        <v>66.637500000000003</v>
      </c>
      <c r="V416" s="4">
        <v>72.47</v>
      </c>
      <c r="W416" s="1">
        <v>487</v>
      </c>
      <c r="X416" s="33">
        <v>0.71187999999999996</v>
      </c>
      <c r="Y416" s="4">
        <v>66.099999999999994</v>
      </c>
      <c r="Z416" s="4">
        <v>72.263999999999996</v>
      </c>
      <c r="AA416" s="1">
        <v>467</v>
      </c>
      <c r="AB416" s="33">
        <v>0.72224999999999995</v>
      </c>
      <c r="AC416" s="4">
        <v>66.037499999999994</v>
      </c>
      <c r="AD416" s="4">
        <v>72.272999999999996</v>
      </c>
      <c r="AE416" s="1">
        <v>459</v>
      </c>
      <c r="AF416" s="33">
        <v>0.72487999999999997</v>
      </c>
      <c r="AG416" s="4">
        <v>66</v>
      </c>
      <c r="AH416" s="4">
        <v>72.262</v>
      </c>
      <c r="AI416" s="1">
        <v>457</v>
      </c>
      <c r="AJ416" s="33">
        <v>0.72575000000000001</v>
      </c>
      <c r="AL416" s="84"/>
      <c r="AM416" s="84"/>
      <c r="AO416" s="85"/>
    </row>
    <row r="417" spans="2:41" x14ac:dyDescent="0.2">
      <c r="B417" s="105"/>
      <c r="C417" s="105"/>
      <c r="D417" s="30">
        <v>91</v>
      </c>
      <c r="E417" s="27">
        <v>67.760000000000005</v>
      </c>
      <c r="F417" s="27">
        <v>72.712000000000003</v>
      </c>
      <c r="G417" s="26">
        <v>564</v>
      </c>
      <c r="H417" s="52">
        <v>0.68137000000000003</v>
      </c>
      <c r="I417" s="27">
        <v>60.95</v>
      </c>
      <c r="J417" s="27">
        <v>38.625</v>
      </c>
      <c r="K417" s="26">
        <v>3017</v>
      </c>
      <c r="L417" s="52">
        <v>0.13625000000000001</v>
      </c>
      <c r="M417" s="27">
        <v>67.162499999999994</v>
      </c>
      <c r="N417" s="27">
        <v>55.131999999999998</v>
      </c>
      <c r="O417" s="26">
        <v>2386</v>
      </c>
      <c r="P417" s="52">
        <v>0.23186999999999999</v>
      </c>
      <c r="Q417" s="27">
        <v>67.025000000000006</v>
      </c>
      <c r="R417" s="27">
        <v>72.646000000000001</v>
      </c>
      <c r="S417" s="26">
        <v>497</v>
      </c>
      <c r="T417" s="52">
        <v>0.70550000000000002</v>
      </c>
      <c r="U417" s="27">
        <v>68.237499999999997</v>
      </c>
      <c r="V417" s="27">
        <v>72.861000000000004</v>
      </c>
      <c r="W417" s="26">
        <v>589</v>
      </c>
      <c r="X417" s="52">
        <v>0.67037999999999998</v>
      </c>
      <c r="Y417" s="27">
        <v>68.112499999999997</v>
      </c>
      <c r="Z417" s="27">
        <v>72.858999999999995</v>
      </c>
      <c r="AA417" s="26">
        <v>576</v>
      </c>
      <c r="AB417" s="52">
        <v>0.67488000000000004</v>
      </c>
      <c r="AC417" s="27">
        <v>67.775000000000006</v>
      </c>
      <c r="AD417" s="27">
        <v>72.724999999999994</v>
      </c>
      <c r="AE417" s="26">
        <v>563</v>
      </c>
      <c r="AF417" s="52">
        <v>0.68149999999999999</v>
      </c>
      <c r="AG417" s="27">
        <v>67.775000000000006</v>
      </c>
      <c r="AH417" s="27">
        <v>72.724999999999994</v>
      </c>
      <c r="AI417" s="26">
        <v>563</v>
      </c>
      <c r="AJ417" s="52">
        <v>0.68149999999999999</v>
      </c>
      <c r="AL417" s="84"/>
      <c r="AM417" s="84"/>
      <c r="AO417" s="85"/>
    </row>
    <row r="418" spans="2:41" x14ac:dyDescent="0.2">
      <c r="B418" s="106"/>
      <c r="C418" s="106"/>
      <c r="D418" s="6" t="s">
        <v>8</v>
      </c>
      <c r="E418" s="7">
        <f t="shared" ref="E418:AJ418" si="29">AVERAGE(E413:E417)</f>
        <v>65.146499999999989</v>
      </c>
      <c r="F418" s="7">
        <f t="shared" si="29"/>
        <v>71.518799999999999</v>
      </c>
      <c r="G418" s="35">
        <f t="shared" si="29"/>
        <v>500.6</v>
      </c>
      <c r="H418" s="34">
        <f t="shared" si="29"/>
        <v>0.72337200000000001</v>
      </c>
      <c r="I418" s="7">
        <f t="shared" si="29"/>
        <v>54.74499999999999</v>
      </c>
      <c r="J418" s="7">
        <f t="shared" si="29"/>
        <v>61.783799999999999</v>
      </c>
      <c r="K418" s="35">
        <f t="shared" si="29"/>
        <v>692.4</v>
      </c>
      <c r="L418" s="34">
        <f t="shared" si="29"/>
        <v>0.77944999999999998</v>
      </c>
      <c r="M418" s="7">
        <f t="shared" si="29"/>
        <v>68.3125</v>
      </c>
      <c r="N418" s="7">
        <f t="shared" si="29"/>
        <v>68.849199999999996</v>
      </c>
      <c r="O418" s="6">
        <f t="shared" si="29"/>
        <v>1068</v>
      </c>
      <c r="P418" s="34">
        <f t="shared" si="29"/>
        <v>0.54987399999999997</v>
      </c>
      <c r="Q418" s="7">
        <f t="shared" si="29"/>
        <v>65.172499999999985</v>
      </c>
      <c r="R418" s="7">
        <f t="shared" si="29"/>
        <v>71.517400000000009</v>
      </c>
      <c r="S418" s="35">
        <f t="shared" si="29"/>
        <v>507.4</v>
      </c>
      <c r="T418" s="34">
        <f t="shared" si="29"/>
        <v>0.72142400000000007</v>
      </c>
      <c r="U418" s="7">
        <f t="shared" si="29"/>
        <v>65.252499999999998</v>
      </c>
      <c r="V418" s="7">
        <f t="shared" si="29"/>
        <v>71.565599999999989</v>
      </c>
      <c r="W418" s="35">
        <f t="shared" si="29"/>
        <v>504.4</v>
      </c>
      <c r="X418" s="34">
        <f t="shared" si="29"/>
        <v>0.72137600000000002</v>
      </c>
      <c r="Y418" s="7">
        <f t="shared" si="29"/>
        <v>65.210000000000008</v>
      </c>
      <c r="Z418" s="7">
        <f t="shared" si="29"/>
        <v>71.531599999999997</v>
      </c>
      <c r="AA418" s="35">
        <f t="shared" si="29"/>
        <v>505.2</v>
      </c>
      <c r="AB418" s="34">
        <f t="shared" si="29"/>
        <v>0.72159799999999996</v>
      </c>
      <c r="AC418" s="7">
        <f t="shared" si="29"/>
        <v>65.17</v>
      </c>
      <c r="AD418" s="7">
        <f t="shared" si="29"/>
        <v>71.526399999999995</v>
      </c>
      <c r="AE418" s="35">
        <f t="shared" si="29"/>
        <v>501.6</v>
      </c>
      <c r="AF418" s="34">
        <f t="shared" si="29"/>
        <v>0.72289999999999988</v>
      </c>
      <c r="AG418" s="7">
        <f t="shared" si="29"/>
        <v>65.147499999999994</v>
      </c>
      <c r="AH418" s="7">
        <f t="shared" si="29"/>
        <v>71.519000000000005</v>
      </c>
      <c r="AI418" s="35">
        <f t="shared" si="29"/>
        <v>500.6</v>
      </c>
      <c r="AJ418" s="34">
        <f t="shared" si="29"/>
        <v>0.72337600000000002</v>
      </c>
      <c r="AL418" s="84"/>
      <c r="AM418" s="1">
        <f>(E418-Q418)*100/E418</f>
        <v>-3.9910048889804137E-2</v>
      </c>
      <c r="AN418" s="1">
        <f>(E418-U418)*100/E418</f>
        <v>-0.16271019932000763</v>
      </c>
      <c r="AO418" s="85"/>
    </row>
    <row r="419" spans="2:41" x14ac:dyDescent="0.2">
      <c r="B419" s="102">
        <v>1</v>
      </c>
      <c r="C419" s="104">
        <v>16</v>
      </c>
      <c r="D419" s="28">
        <v>13</v>
      </c>
      <c r="E419" s="51">
        <v>72.239999999999995</v>
      </c>
      <c r="F419" s="1">
        <v>71.731999999999999</v>
      </c>
      <c r="G419" s="25">
        <v>1182</v>
      </c>
      <c r="H419" s="36">
        <v>0.48213</v>
      </c>
      <c r="I419" s="25">
        <v>50</v>
      </c>
      <c r="J419" s="1">
        <v>0</v>
      </c>
      <c r="K419" s="25">
        <v>4000</v>
      </c>
      <c r="L419" s="36">
        <v>0</v>
      </c>
      <c r="M419" s="51">
        <v>71.237499999999997</v>
      </c>
      <c r="N419" s="1">
        <v>67.123999999999995</v>
      </c>
      <c r="O419" s="25">
        <v>1651</v>
      </c>
      <c r="P419" s="36">
        <v>0.37487999999999999</v>
      </c>
      <c r="Q419" s="51">
        <v>71.912499999999994</v>
      </c>
      <c r="R419" s="4">
        <v>69.399000000000001</v>
      </c>
      <c r="S419" s="25">
        <v>1452</v>
      </c>
      <c r="T419" s="36">
        <v>0.41787000000000002</v>
      </c>
      <c r="U419" s="51">
        <v>72.237499999999997</v>
      </c>
      <c r="V419" s="4">
        <v>71.688999999999993</v>
      </c>
      <c r="W419" s="25">
        <v>1188</v>
      </c>
      <c r="X419" s="36">
        <v>0.48063</v>
      </c>
      <c r="Y419" s="51">
        <v>72.212500000000006</v>
      </c>
      <c r="Z419" s="4">
        <v>71.713999999999999</v>
      </c>
      <c r="AA419" s="25">
        <v>1182</v>
      </c>
      <c r="AB419" s="36">
        <v>0.48237000000000002</v>
      </c>
      <c r="AC419" s="51">
        <v>72.237499999999997</v>
      </c>
      <c r="AD419" s="4">
        <v>71.710999999999999</v>
      </c>
      <c r="AE419" s="25">
        <v>1185</v>
      </c>
      <c r="AF419" s="36">
        <v>0.48137000000000002</v>
      </c>
      <c r="AG419" s="51">
        <v>72.237499999999997</v>
      </c>
      <c r="AH419" s="4">
        <v>71.731999999999999</v>
      </c>
      <c r="AI419" s="25">
        <v>1182</v>
      </c>
      <c r="AJ419" s="36">
        <v>0.48213</v>
      </c>
      <c r="AL419" s="84"/>
      <c r="AM419" s="84"/>
      <c r="AO419" s="85"/>
    </row>
    <row r="420" spans="2:41" x14ac:dyDescent="0.2">
      <c r="B420" s="103"/>
      <c r="C420" s="105"/>
      <c r="D420" s="29">
        <v>21</v>
      </c>
      <c r="E420" s="4">
        <v>71.7</v>
      </c>
      <c r="F420" s="4">
        <v>69.180999999999997</v>
      </c>
      <c r="G420" s="1">
        <v>1459</v>
      </c>
      <c r="H420" s="33">
        <v>0.41825000000000001</v>
      </c>
      <c r="I420" s="4">
        <v>57.887500000000003</v>
      </c>
      <c r="J420" s="4">
        <v>69.031999999999996</v>
      </c>
      <c r="K420" s="1">
        <v>245</v>
      </c>
      <c r="L420" s="33">
        <v>0.85987000000000002</v>
      </c>
      <c r="M420" s="4">
        <v>65.587500000000006</v>
      </c>
      <c r="N420" s="4">
        <v>71.284000000000006</v>
      </c>
      <c r="O420" s="1">
        <v>583</v>
      </c>
      <c r="P420" s="33">
        <v>0.69837000000000005</v>
      </c>
      <c r="Q420" s="4">
        <v>71.512500000000003</v>
      </c>
      <c r="R420" s="4">
        <v>68.447999999999993</v>
      </c>
      <c r="S420" s="1">
        <v>1528</v>
      </c>
      <c r="T420" s="33">
        <v>0.40287000000000001</v>
      </c>
      <c r="U420" s="4">
        <v>71.625</v>
      </c>
      <c r="V420" s="4">
        <v>68.819000000000003</v>
      </c>
      <c r="W420" s="1">
        <v>1495</v>
      </c>
      <c r="X420" s="33">
        <v>0.41</v>
      </c>
      <c r="Y420" s="4">
        <v>71.762500000000003</v>
      </c>
      <c r="Z420" s="4">
        <v>69.11</v>
      </c>
      <c r="AA420" s="1">
        <v>1473</v>
      </c>
      <c r="AB420" s="33">
        <v>0.41413</v>
      </c>
      <c r="AC420" s="4">
        <v>71.712500000000006</v>
      </c>
      <c r="AD420" s="4">
        <v>69.215000000000003</v>
      </c>
      <c r="AE420" s="1">
        <v>1456</v>
      </c>
      <c r="AF420" s="33">
        <v>0.41887000000000002</v>
      </c>
      <c r="AG420" s="4">
        <v>71.7</v>
      </c>
      <c r="AH420" s="4">
        <v>69.180999999999997</v>
      </c>
      <c r="AI420" s="1">
        <v>1459</v>
      </c>
      <c r="AJ420" s="33">
        <v>0.41825000000000001</v>
      </c>
      <c r="AL420" s="84"/>
      <c r="AM420" s="84"/>
      <c r="AO420" s="85"/>
    </row>
    <row r="421" spans="2:41" x14ac:dyDescent="0.2">
      <c r="B421" s="103"/>
      <c r="C421" s="105"/>
      <c r="D421" s="29">
        <v>47</v>
      </c>
      <c r="E421" s="4">
        <v>71.94</v>
      </c>
      <c r="F421" s="4">
        <v>70.331999999999994</v>
      </c>
      <c r="G421" s="1">
        <v>1339</v>
      </c>
      <c r="H421" s="33">
        <v>0.44588</v>
      </c>
      <c r="I421" s="4">
        <v>50.737499999999997</v>
      </c>
      <c r="J421" s="4">
        <v>66.930000000000007</v>
      </c>
      <c r="K421" s="1">
        <v>12</v>
      </c>
      <c r="L421" s="33">
        <v>0.98962000000000006</v>
      </c>
      <c r="M421" s="4">
        <v>72.45</v>
      </c>
      <c r="N421" s="4">
        <v>71.174000000000007</v>
      </c>
      <c r="O421" s="1">
        <v>1279</v>
      </c>
      <c r="P421" s="33">
        <v>0.45574999999999999</v>
      </c>
      <c r="Q421" s="4">
        <v>70.400000000000006</v>
      </c>
      <c r="R421" s="4">
        <v>72.343000000000004</v>
      </c>
      <c r="S421" s="1">
        <v>903</v>
      </c>
      <c r="T421" s="33">
        <v>0.57025000000000003</v>
      </c>
      <c r="U421" s="4">
        <v>71.724999999999994</v>
      </c>
      <c r="V421" s="4">
        <v>70.850999999999999</v>
      </c>
      <c r="W421" s="1">
        <v>1251</v>
      </c>
      <c r="X421" s="33">
        <v>0.47</v>
      </c>
      <c r="Y421" s="4">
        <v>71.95</v>
      </c>
      <c r="Z421" s="4">
        <v>70.356999999999999</v>
      </c>
      <c r="AA421" s="1">
        <v>1337</v>
      </c>
      <c r="AB421" s="33">
        <v>0.44624999999999998</v>
      </c>
      <c r="AC421" s="4">
        <v>71.962500000000006</v>
      </c>
      <c r="AD421" s="4">
        <v>70.295000000000002</v>
      </c>
      <c r="AE421" s="1">
        <v>1346</v>
      </c>
      <c r="AF421" s="33">
        <v>0.44388</v>
      </c>
      <c r="AG421" s="4">
        <v>71.9375</v>
      </c>
      <c r="AH421" s="4">
        <v>70.331999999999994</v>
      </c>
      <c r="AI421" s="1">
        <v>1339</v>
      </c>
      <c r="AJ421" s="33">
        <v>0.44588</v>
      </c>
      <c r="AL421" s="84"/>
      <c r="AM421" s="84"/>
      <c r="AO421" s="85"/>
    </row>
    <row r="422" spans="2:41" x14ac:dyDescent="0.2">
      <c r="B422" s="103"/>
      <c r="C422" s="105"/>
      <c r="D422" s="29">
        <v>50</v>
      </c>
      <c r="E422" s="4">
        <v>72.45</v>
      </c>
      <c r="F422" s="4">
        <v>70.376000000000005</v>
      </c>
      <c r="G422" s="1">
        <v>1382</v>
      </c>
      <c r="H422" s="33">
        <v>0.43</v>
      </c>
      <c r="I422" s="4">
        <v>63.012500000000003</v>
      </c>
      <c r="J422" s="4">
        <v>46.713000000000001</v>
      </c>
      <c r="K422" s="1">
        <v>2703</v>
      </c>
      <c r="L422" s="33">
        <v>0.19411999999999999</v>
      </c>
      <c r="M422" s="4">
        <v>68.625</v>
      </c>
      <c r="N422" s="4">
        <v>60.045000000000002</v>
      </c>
      <c r="O422" s="1">
        <v>2114</v>
      </c>
      <c r="P422" s="33">
        <v>0.28525</v>
      </c>
      <c r="Q422" s="4">
        <v>72.637500000000003</v>
      </c>
      <c r="R422" s="4">
        <v>70.872</v>
      </c>
      <c r="S422" s="1">
        <v>1337</v>
      </c>
      <c r="T422" s="33">
        <v>0.43937999999999999</v>
      </c>
      <c r="U422" s="4">
        <v>72.362499999999997</v>
      </c>
      <c r="V422" s="4">
        <v>69.906000000000006</v>
      </c>
      <c r="W422" s="1">
        <v>1432</v>
      </c>
      <c r="X422" s="33">
        <v>0.41837000000000002</v>
      </c>
      <c r="Y422" s="4">
        <v>72.474999999999994</v>
      </c>
      <c r="Z422" s="4">
        <v>70.483000000000004</v>
      </c>
      <c r="AA422" s="1">
        <v>1371</v>
      </c>
      <c r="AB422" s="33">
        <v>0.4325</v>
      </c>
      <c r="AC422" s="4">
        <v>72.45</v>
      </c>
      <c r="AD422" s="4">
        <v>70.367999999999995</v>
      </c>
      <c r="AE422" s="1">
        <v>1383</v>
      </c>
      <c r="AF422" s="33">
        <v>0.42975000000000002</v>
      </c>
      <c r="AG422" s="4">
        <v>72.4375</v>
      </c>
      <c r="AH422" s="4">
        <v>70.358999999999995</v>
      </c>
      <c r="AI422" s="1">
        <v>1383</v>
      </c>
      <c r="AJ422" s="33">
        <v>0.42987999999999998</v>
      </c>
      <c r="AL422" s="84"/>
      <c r="AM422" s="84"/>
      <c r="AO422" s="85"/>
    </row>
    <row r="423" spans="2:41" x14ac:dyDescent="0.2">
      <c r="B423" s="103"/>
      <c r="C423" s="105"/>
      <c r="D423" s="30">
        <v>91</v>
      </c>
      <c r="E423" s="27">
        <v>72.67</v>
      </c>
      <c r="F423" s="27">
        <v>70.727999999999994</v>
      </c>
      <c r="G423" s="26">
        <v>1359</v>
      </c>
      <c r="H423" s="52">
        <v>0.4335</v>
      </c>
      <c r="I423" s="27">
        <v>51.612499999999997</v>
      </c>
      <c r="J423" s="27">
        <v>67.230999999999995</v>
      </c>
      <c r="K423" s="26">
        <v>29</v>
      </c>
      <c r="L423" s="52">
        <v>0.97662000000000004</v>
      </c>
      <c r="M423" s="27">
        <v>69.637500000000003</v>
      </c>
      <c r="N423" s="27">
        <v>61.694000000000003</v>
      </c>
      <c r="O423" s="26">
        <v>2044</v>
      </c>
      <c r="P423" s="52">
        <v>0.29263</v>
      </c>
      <c r="Q423" s="27">
        <v>71.762500000000003</v>
      </c>
      <c r="R423" s="27">
        <v>68.152000000000001</v>
      </c>
      <c r="S423" s="26">
        <v>1583</v>
      </c>
      <c r="T423" s="52">
        <v>0.38662000000000002</v>
      </c>
      <c r="U423" s="27">
        <v>72.912499999999994</v>
      </c>
      <c r="V423" s="27">
        <v>71.194999999999993</v>
      </c>
      <c r="W423" s="26">
        <v>1322</v>
      </c>
      <c r="X423" s="52">
        <v>0.44037999999999999</v>
      </c>
      <c r="Y423" s="27">
        <v>72.724999999999994</v>
      </c>
      <c r="Z423" s="27">
        <v>70.813000000000002</v>
      </c>
      <c r="AA423" s="26">
        <v>1353</v>
      </c>
      <c r="AB423" s="52">
        <v>0.4345</v>
      </c>
      <c r="AC423" s="27">
        <v>72.662499999999994</v>
      </c>
      <c r="AD423" s="27">
        <v>70.710999999999999</v>
      </c>
      <c r="AE423" s="26">
        <v>1360</v>
      </c>
      <c r="AF423" s="52">
        <v>0.43337999999999999</v>
      </c>
      <c r="AG423" s="27">
        <v>72.662499999999994</v>
      </c>
      <c r="AH423" s="27">
        <v>70.710999999999999</v>
      </c>
      <c r="AI423" s="26">
        <v>1360</v>
      </c>
      <c r="AJ423" s="52">
        <v>0.43337999999999999</v>
      </c>
      <c r="AL423" s="84"/>
      <c r="AM423" s="84"/>
      <c r="AO423" s="85"/>
    </row>
    <row r="424" spans="2:41" x14ac:dyDescent="0.2">
      <c r="B424" s="101"/>
      <c r="C424" s="105"/>
      <c r="D424" s="6" t="s">
        <v>8</v>
      </c>
      <c r="E424" s="7">
        <f t="shared" ref="E424:AJ424" si="30">AVERAGE(E419:E423)</f>
        <v>72.2</v>
      </c>
      <c r="F424" s="7">
        <f t="shared" si="30"/>
        <v>70.469799999999992</v>
      </c>
      <c r="G424" s="35">
        <f t="shared" si="30"/>
        <v>1344.2</v>
      </c>
      <c r="H424" s="34">
        <f t="shared" si="30"/>
        <v>0.44195200000000001</v>
      </c>
      <c r="I424" s="7">
        <f t="shared" si="30"/>
        <v>54.65</v>
      </c>
      <c r="J424" s="7">
        <f t="shared" si="30"/>
        <v>49.981199999999994</v>
      </c>
      <c r="K424" s="35">
        <f t="shared" si="30"/>
        <v>1397.8</v>
      </c>
      <c r="L424" s="34">
        <f t="shared" si="30"/>
        <v>0.60404600000000008</v>
      </c>
      <c r="M424" s="7">
        <f t="shared" si="30"/>
        <v>69.507499999999993</v>
      </c>
      <c r="N424" s="7">
        <f t="shared" si="30"/>
        <v>66.264200000000002</v>
      </c>
      <c r="O424" s="35">
        <f t="shared" si="30"/>
        <v>1534.2</v>
      </c>
      <c r="P424" s="34">
        <f t="shared" si="30"/>
        <v>0.42137599999999997</v>
      </c>
      <c r="Q424" s="7">
        <f t="shared" si="30"/>
        <v>71.64500000000001</v>
      </c>
      <c r="R424" s="7">
        <f t="shared" si="30"/>
        <v>69.842799999999997</v>
      </c>
      <c r="S424" s="35">
        <f t="shared" si="30"/>
        <v>1360.6</v>
      </c>
      <c r="T424" s="34">
        <f t="shared" si="30"/>
        <v>0.44339800000000001</v>
      </c>
      <c r="U424" s="7">
        <f t="shared" si="30"/>
        <v>72.172499999999985</v>
      </c>
      <c r="V424" s="7">
        <f t="shared" si="30"/>
        <v>70.49199999999999</v>
      </c>
      <c r="W424" s="35">
        <f t="shared" si="30"/>
        <v>1337.6</v>
      </c>
      <c r="X424" s="34">
        <f t="shared" si="30"/>
        <v>0.44387600000000005</v>
      </c>
      <c r="Y424" s="7">
        <f t="shared" si="30"/>
        <v>72.224999999999994</v>
      </c>
      <c r="Z424" s="7">
        <f t="shared" si="30"/>
        <v>70.495399999999989</v>
      </c>
      <c r="AA424" s="35">
        <f t="shared" si="30"/>
        <v>1343.2</v>
      </c>
      <c r="AB424" s="34">
        <f t="shared" si="30"/>
        <v>0.44195000000000001</v>
      </c>
      <c r="AC424" s="7">
        <f t="shared" si="30"/>
        <v>72.204999999999998</v>
      </c>
      <c r="AD424" s="7">
        <f t="shared" si="30"/>
        <v>70.460000000000008</v>
      </c>
      <c r="AE424" s="35">
        <f t="shared" si="30"/>
        <v>1346</v>
      </c>
      <c r="AF424" s="34">
        <f t="shared" si="30"/>
        <v>0.44145000000000001</v>
      </c>
      <c r="AG424" s="7">
        <f t="shared" si="30"/>
        <v>72.195000000000007</v>
      </c>
      <c r="AH424" s="7">
        <f t="shared" si="30"/>
        <v>70.462999999999994</v>
      </c>
      <c r="AI424" s="35">
        <f t="shared" si="30"/>
        <v>1344.6</v>
      </c>
      <c r="AJ424" s="34">
        <f t="shared" si="30"/>
        <v>0.44190399999999996</v>
      </c>
      <c r="AL424" s="84"/>
      <c r="AM424" s="1">
        <f>(E424-Q424)*100/E424</f>
        <v>0.76869806094181803</v>
      </c>
      <c r="AN424" s="1">
        <f>(E424-U424)*100/E424</f>
        <v>3.8088642659304187E-2</v>
      </c>
      <c r="AO424" s="85"/>
    </row>
    <row r="425" spans="2:41" x14ac:dyDescent="0.2">
      <c r="B425" s="104">
        <v>1.2</v>
      </c>
      <c r="C425" s="105"/>
      <c r="D425" s="28">
        <v>13</v>
      </c>
      <c r="E425" s="25">
        <v>71.53</v>
      </c>
      <c r="F425" s="25">
        <v>72.686000000000007</v>
      </c>
      <c r="G425" s="25">
        <v>969</v>
      </c>
      <c r="H425" s="36">
        <v>0.54249999999999998</v>
      </c>
      <c r="I425" s="25">
        <v>69.987499999999997</v>
      </c>
      <c r="J425" s="1">
        <v>72.921999999999997</v>
      </c>
      <c r="K425" s="25">
        <v>767</v>
      </c>
      <c r="L425" s="36">
        <v>0.60836999999999997</v>
      </c>
      <c r="M425" s="51">
        <v>70.387500000000003</v>
      </c>
      <c r="N425" s="1">
        <v>63.904000000000003</v>
      </c>
      <c r="O425" s="25">
        <v>1903</v>
      </c>
      <c r="P425" s="36">
        <v>0.32038</v>
      </c>
      <c r="Q425" s="51">
        <v>72</v>
      </c>
      <c r="R425" s="4">
        <v>71.831000000000003</v>
      </c>
      <c r="S425" s="25">
        <v>1144</v>
      </c>
      <c r="T425" s="36">
        <v>0.49399999999999999</v>
      </c>
      <c r="U425" s="51">
        <v>71.625</v>
      </c>
      <c r="V425" s="4">
        <v>72.67</v>
      </c>
      <c r="W425" s="25">
        <v>982</v>
      </c>
      <c r="X425" s="36">
        <v>0.53825000000000001</v>
      </c>
      <c r="Y425" s="51">
        <v>71.599999999999994</v>
      </c>
      <c r="Z425" s="4">
        <v>72.653000000000006</v>
      </c>
      <c r="AA425" s="25">
        <v>982</v>
      </c>
      <c r="AB425" s="36">
        <v>0.53849999999999998</v>
      </c>
      <c r="AC425" s="51">
        <v>71.5</v>
      </c>
      <c r="AD425" s="4">
        <v>72.668000000000006</v>
      </c>
      <c r="AE425" s="25">
        <v>969</v>
      </c>
      <c r="AF425" s="36">
        <v>0.54274999999999995</v>
      </c>
      <c r="AG425" s="51">
        <v>71.537499999999994</v>
      </c>
      <c r="AH425" s="4">
        <v>72.688000000000002</v>
      </c>
      <c r="AI425" s="25">
        <v>970</v>
      </c>
      <c r="AJ425" s="36">
        <v>0.54212000000000005</v>
      </c>
      <c r="AL425" s="84"/>
      <c r="AM425" s="84"/>
      <c r="AO425" s="85"/>
    </row>
    <row r="426" spans="2:41" x14ac:dyDescent="0.2">
      <c r="B426" s="105"/>
      <c r="C426" s="105"/>
      <c r="D426" s="29">
        <v>21</v>
      </c>
      <c r="E426" s="4">
        <v>70.08</v>
      </c>
      <c r="F426" s="4">
        <v>72.162999999999997</v>
      </c>
      <c r="G426" s="1">
        <v>897</v>
      </c>
      <c r="H426" s="33">
        <v>0.57499999999999996</v>
      </c>
      <c r="I426" s="4">
        <v>50</v>
      </c>
      <c r="J426" s="4">
        <v>66.667000000000002</v>
      </c>
      <c r="K426" s="1">
        <v>0</v>
      </c>
      <c r="L426" s="33">
        <v>1</v>
      </c>
      <c r="M426" s="4">
        <v>70.487499999999997</v>
      </c>
      <c r="N426" s="4">
        <v>71.762</v>
      </c>
      <c r="O426" s="1">
        <v>1000</v>
      </c>
      <c r="P426" s="33">
        <v>0.54512000000000005</v>
      </c>
      <c r="Q426" s="4">
        <v>68.95</v>
      </c>
      <c r="R426" s="4">
        <v>72.283000000000001</v>
      </c>
      <c r="S426" s="1">
        <v>761</v>
      </c>
      <c r="T426" s="33">
        <v>0.62024999999999997</v>
      </c>
      <c r="U426" s="4">
        <v>70.075000000000003</v>
      </c>
      <c r="V426" s="4">
        <v>72.188999999999993</v>
      </c>
      <c r="W426" s="1">
        <v>893</v>
      </c>
      <c r="X426" s="33">
        <v>0.57599999999999996</v>
      </c>
      <c r="Y426" s="4">
        <v>70.212500000000006</v>
      </c>
      <c r="Z426" s="4">
        <v>72.183999999999997</v>
      </c>
      <c r="AA426" s="1">
        <v>908</v>
      </c>
      <c r="AB426" s="33">
        <v>0.57088000000000005</v>
      </c>
      <c r="AC426" s="4">
        <v>70.075000000000003</v>
      </c>
      <c r="AD426" s="4">
        <v>72.162999999999997</v>
      </c>
      <c r="AE426" s="1">
        <v>897</v>
      </c>
      <c r="AF426" s="33">
        <v>0.57499999999999996</v>
      </c>
      <c r="AG426" s="4">
        <v>70.075000000000003</v>
      </c>
      <c r="AH426" s="4">
        <v>72.162999999999997</v>
      </c>
      <c r="AI426" s="1">
        <v>897</v>
      </c>
      <c r="AJ426" s="33">
        <v>0.57499999999999996</v>
      </c>
      <c r="AL426" s="84"/>
      <c r="AM426" s="84"/>
      <c r="AO426" s="85"/>
    </row>
    <row r="427" spans="2:41" x14ac:dyDescent="0.2">
      <c r="B427" s="105"/>
      <c r="C427" s="105"/>
      <c r="D427" s="29">
        <v>47</v>
      </c>
      <c r="E427" s="4">
        <v>72.11</v>
      </c>
      <c r="F427" s="4">
        <v>71.947999999999993</v>
      </c>
      <c r="G427" s="1">
        <v>1139</v>
      </c>
      <c r="H427" s="33">
        <v>0.49412</v>
      </c>
      <c r="I427" s="4">
        <v>61.4</v>
      </c>
      <c r="J427" s="4">
        <v>70.573999999999998</v>
      </c>
      <c r="K427" s="1">
        <v>297</v>
      </c>
      <c r="L427" s="33">
        <v>0.81174999999999997</v>
      </c>
      <c r="M427" s="4">
        <v>65.2</v>
      </c>
      <c r="N427" s="4">
        <v>50.036000000000001</v>
      </c>
      <c r="O427" s="1">
        <v>2606</v>
      </c>
      <c r="P427" s="33">
        <v>0.19650000000000001</v>
      </c>
      <c r="Q427" s="4">
        <v>70.650000000000006</v>
      </c>
      <c r="R427" s="4">
        <v>72.799000000000007</v>
      </c>
      <c r="S427" s="1">
        <v>858</v>
      </c>
      <c r="T427" s="33">
        <v>0.57899999999999996</v>
      </c>
      <c r="U427" s="4">
        <v>71.637500000000003</v>
      </c>
      <c r="V427" s="4">
        <v>72.141999999999996</v>
      </c>
      <c r="W427" s="1">
        <v>1062</v>
      </c>
      <c r="X427" s="33">
        <v>0.51812000000000002</v>
      </c>
      <c r="Y427" s="4">
        <v>71.95</v>
      </c>
      <c r="Z427" s="4">
        <v>72.069000000000003</v>
      </c>
      <c r="AA427" s="1">
        <v>1105</v>
      </c>
      <c r="AB427" s="33">
        <v>0.50424999999999998</v>
      </c>
      <c r="AC427" s="4">
        <v>72.125</v>
      </c>
      <c r="AD427" s="4">
        <v>71.963999999999999</v>
      </c>
      <c r="AE427" s="1">
        <v>1138</v>
      </c>
      <c r="AF427" s="33">
        <v>0.49425000000000002</v>
      </c>
      <c r="AG427" s="4">
        <v>72.125</v>
      </c>
      <c r="AH427" s="4">
        <v>71.95</v>
      </c>
      <c r="AI427" s="1">
        <v>1140</v>
      </c>
      <c r="AJ427" s="33">
        <v>0.49375000000000002</v>
      </c>
      <c r="AL427" s="84"/>
      <c r="AM427" s="84"/>
      <c r="AO427" s="85"/>
    </row>
    <row r="428" spans="2:41" x14ac:dyDescent="0.2">
      <c r="B428" s="105"/>
      <c r="C428" s="105"/>
      <c r="D428" s="29">
        <v>50</v>
      </c>
      <c r="E428" s="4">
        <v>71.94</v>
      </c>
      <c r="F428" s="4">
        <v>72.349000000000004</v>
      </c>
      <c r="G428" s="1">
        <v>1063</v>
      </c>
      <c r="H428" s="33">
        <v>0.51487000000000005</v>
      </c>
      <c r="I428" s="4">
        <v>69.724999999999994</v>
      </c>
      <c r="J428" s="4">
        <v>72.052000000000007</v>
      </c>
      <c r="K428" s="1">
        <v>878</v>
      </c>
      <c r="L428" s="33">
        <v>0.58325000000000005</v>
      </c>
      <c r="M428" s="4">
        <v>66.55</v>
      </c>
      <c r="N428" s="4">
        <v>71.944000000000003</v>
      </c>
      <c r="O428" s="1">
        <v>569</v>
      </c>
      <c r="P428" s="33">
        <v>0.69225000000000003</v>
      </c>
      <c r="Q428" s="4">
        <v>71.924999999999997</v>
      </c>
      <c r="R428" s="4">
        <v>72.099000000000004</v>
      </c>
      <c r="S428" s="1">
        <v>1098</v>
      </c>
      <c r="T428" s="33">
        <v>0.50624999999999998</v>
      </c>
      <c r="U428" s="4">
        <v>71.962500000000006</v>
      </c>
      <c r="V428" s="4">
        <v>72.022000000000006</v>
      </c>
      <c r="W428" s="1">
        <v>1113</v>
      </c>
      <c r="X428" s="33">
        <v>0.50212999999999997</v>
      </c>
      <c r="Y428" s="4">
        <v>71.962500000000006</v>
      </c>
      <c r="Z428" s="4">
        <v>72.36</v>
      </c>
      <c r="AA428" s="1">
        <v>1064</v>
      </c>
      <c r="AB428" s="33">
        <v>0.51437999999999995</v>
      </c>
      <c r="AC428" s="4">
        <v>71.974999999999994</v>
      </c>
      <c r="AD428" s="4">
        <v>72.369</v>
      </c>
      <c r="AE428" s="1">
        <v>1064</v>
      </c>
      <c r="AF428" s="33">
        <v>0.51424999999999998</v>
      </c>
      <c r="AG428" s="4">
        <v>71.9375</v>
      </c>
      <c r="AH428" s="4">
        <v>72.349000000000004</v>
      </c>
      <c r="AI428" s="1">
        <v>1063</v>
      </c>
      <c r="AJ428" s="33">
        <v>0.51487000000000005</v>
      </c>
      <c r="AL428" s="84"/>
      <c r="AM428" s="84"/>
      <c r="AO428" s="85"/>
    </row>
    <row r="429" spans="2:41" x14ac:dyDescent="0.2">
      <c r="B429" s="105"/>
      <c r="C429" s="105"/>
      <c r="D429" s="30">
        <v>91</v>
      </c>
      <c r="E429" s="27">
        <v>72.95</v>
      </c>
      <c r="F429" s="27">
        <v>71.968999999999994</v>
      </c>
      <c r="G429" s="26">
        <v>1222</v>
      </c>
      <c r="H429" s="52">
        <v>0.46500000000000002</v>
      </c>
      <c r="I429" s="27">
        <v>50</v>
      </c>
      <c r="J429" s="27">
        <v>66.667000000000002</v>
      </c>
      <c r="K429" s="26">
        <v>0</v>
      </c>
      <c r="L429" s="52">
        <v>1</v>
      </c>
      <c r="M429" s="27">
        <v>72.75</v>
      </c>
      <c r="N429" s="27">
        <v>71.010999999999996</v>
      </c>
      <c r="O429" s="26">
        <v>1330</v>
      </c>
      <c r="P429" s="52">
        <v>0.44</v>
      </c>
      <c r="Q429" s="27">
        <v>72.787499999999994</v>
      </c>
      <c r="R429" s="27">
        <v>71.313999999999993</v>
      </c>
      <c r="S429" s="26">
        <v>1294</v>
      </c>
      <c r="T429" s="52">
        <v>0.44862000000000002</v>
      </c>
      <c r="U429" s="27">
        <v>72.9375</v>
      </c>
      <c r="V429" s="27">
        <v>71.900999999999996</v>
      </c>
      <c r="W429" s="26">
        <v>1230</v>
      </c>
      <c r="X429" s="52">
        <v>0.46312999999999999</v>
      </c>
      <c r="Y429" s="27">
        <v>72.900000000000006</v>
      </c>
      <c r="Z429" s="27">
        <v>71.843999999999994</v>
      </c>
      <c r="AA429" s="26">
        <v>1234</v>
      </c>
      <c r="AB429" s="52">
        <v>0.46250000000000002</v>
      </c>
      <c r="AC429" s="27">
        <v>72.924999999999997</v>
      </c>
      <c r="AD429" s="27">
        <v>71.957999999999998</v>
      </c>
      <c r="AE429" s="26">
        <v>1221</v>
      </c>
      <c r="AF429" s="52">
        <v>0.46550000000000002</v>
      </c>
      <c r="AG429" s="27">
        <v>72.924999999999997</v>
      </c>
      <c r="AH429" s="27">
        <v>71.965000000000003</v>
      </c>
      <c r="AI429" s="26">
        <v>1220</v>
      </c>
      <c r="AJ429" s="52">
        <v>0.46575</v>
      </c>
      <c r="AL429" s="84"/>
      <c r="AM429" s="84"/>
      <c r="AO429" s="85"/>
    </row>
    <row r="430" spans="2:41" x14ac:dyDescent="0.2">
      <c r="B430" s="106"/>
      <c r="C430" s="105"/>
      <c r="D430" s="6" t="s">
        <v>8</v>
      </c>
      <c r="E430" s="7">
        <f t="shared" ref="E430:AJ430" si="31">AVERAGE(E425:E429)</f>
        <v>71.722000000000008</v>
      </c>
      <c r="F430" s="7">
        <f t="shared" si="31"/>
        <v>72.222999999999985</v>
      </c>
      <c r="G430" s="35">
        <f t="shared" si="31"/>
        <v>1058</v>
      </c>
      <c r="H430" s="34">
        <f t="shared" si="31"/>
        <v>0.51829799999999993</v>
      </c>
      <c r="I430" s="7">
        <f t="shared" si="31"/>
        <v>60.222499999999989</v>
      </c>
      <c r="J430" s="7">
        <f t="shared" si="31"/>
        <v>69.77640000000001</v>
      </c>
      <c r="K430" s="35">
        <f t="shared" si="31"/>
        <v>388.4</v>
      </c>
      <c r="L430" s="34">
        <f t="shared" si="31"/>
        <v>0.80067400000000011</v>
      </c>
      <c r="M430" s="7">
        <f t="shared" si="31"/>
        <v>69.075000000000003</v>
      </c>
      <c r="N430" s="7">
        <f t="shared" si="31"/>
        <v>65.731400000000008</v>
      </c>
      <c r="O430" s="35">
        <f t="shared" si="31"/>
        <v>1481.6</v>
      </c>
      <c r="P430" s="34">
        <f t="shared" si="31"/>
        <v>0.43885000000000007</v>
      </c>
      <c r="Q430" s="7">
        <f t="shared" si="31"/>
        <v>71.262500000000003</v>
      </c>
      <c r="R430" s="7">
        <f t="shared" si="31"/>
        <v>72.065200000000004</v>
      </c>
      <c r="S430" s="35">
        <f t="shared" si="31"/>
        <v>1031</v>
      </c>
      <c r="T430" s="34">
        <f t="shared" si="31"/>
        <v>0.52962399999999998</v>
      </c>
      <c r="U430" s="7">
        <f t="shared" si="31"/>
        <v>71.647499999999994</v>
      </c>
      <c r="V430" s="7">
        <f t="shared" si="31"/>
        <v>72.184799999999996</v>
      </c>
      <c r="W430" s="35">
        <f t="shared" si="31"/>
        <v>1056</v>
      </c>
      <c r="X430" s="34">
        <f t="shared" si="31"/>
        <v>0.51952600000000004</v>
      </c>
      <c r="Y430" s="7">
        <f t="shared" si="31"/>
        <v>71.724999999999994</v>
      </c>
      <c r="Z430" s="7">
        <f t="shared" si="31"/>
        <v>72.222000000000008</v>
      </c>
      <c r="AA430" s="35">
        <f t="shared" si="31"/>
        <v>1058.5999999999999</v>
      </c>
      <c r="AB430" s="34">
        <f t="shared" si="31"/>
        <v>0.51810200000000006</v>
      </c>
      <c r="AC430" s="7">
        <f t="shared" si="31"/>
        <v>71.72</v>
      </c>
      <c r="AD430" s="7">
        <f t="shared" si="31"/>
        <v>72.224399999999989</v>
      </c>
      <c r="AE430" s="35">
        <f t="shared" si="31"/>
        <v>1057.8</v>
      </c>
      <c r="AF430" s="34">
        <f t="shared" si="31"/>
        <v>0.51835000000000009</v>
      </c>
      <c r="AG430" s="7">
        <f t="shared" si="31"/>
        <v>71.72</v>
      </c>
      <c r="AH430" s="7">
        <f t="shared" si="31"/>
        <v>72.222999999999999</v>
      </c>
      <c r="AI430" s="35">
        <f t="shared" si="31"/>
        <v>1058</v>
      </c>
      <c r="AJ430" s="34">
        <f t="shared" si="31"/>
        <v>0.51829799999999993</v>
      </c>
      <c r="AL430" s="84"/>
      <c r="AM430" s="1">
        <f>(E430-Q430)*100/E430</f>
        <v>0.64066813530019451</v>
      </c>
      <c r="AN430" s="1">
        <f>(E430-U430)*100/E430</f>
        <v>0.10387328853073625</v>
      </c>
      <c r="AO430" s="85"/>
    </row>
    <row r="431" spans="2:41" x14ac:dyDescent="0.2">
      <c r="B431" s="104">
        <v>1.4</v>
      </c>
      <c r="C431" s="105"/>
      <c r="D431" s="28">
        <v>13</v>
      </c>
      <c r="E431" s="25">
        <v>64.06</v>
      </c>
      <c r="F431" s="25">
        <v>71.56</v>
      </c>
      <c r="G431" s="25">
        <v>383</v>
      </c>
      <c r="H431" s="36">
        <v>0.76361999999999997</v>
      </c>
      <c r="I431" s="25">
        <v>72.05</v>
      </c>
      <c r="J431" s="1">
        <v>74.09</v>
      </c>
      <c r="K431" s="25">
        <v>803</v>
      </c>
      <c r="L431" s="36">
        <v>0.57874999999999999</v>
      </c>
      <c r="M431" s="51">
        <v>56.274999999999999</v>
      </c>
      <c r="N431" s="1">
        <v>68.722999999999999</v>
      </c>
      <c r="O431" s="25">
        <v>157</v>
      </c>
      <c r="P431" s="36">
        <v>0.89800000000000002</v>
      </c>
      <c r="Q431" s="51">
        <v>68.012500000000003</v>
      </c>
      <c r="R431" s="4">
        <v>72.843000000000004</v>
      </c>
      <c r="S431" s="25">
        <v>568</v>
      </c>
      <c r="T431" s="36">
        <v>0.67788000000000004</v>
      </c>
      <c r="U431" s="51">
        <v>63.75</v>
      </c>
      <c r="V431" s="4">
        <v>71.462000000000003</v>
      </c>
      <c r="W431" s="25">
        <v>369</v>
      </c>
      <c r="X431" s="36">
        <v>0.77024999999999999</v>
      </c>
      <c r="Y431" s="51">
        <v>64.275000000000006</v>
      </c>
      <c r="Z431" s="4">
        <v>71.641000000000005</v>
      </c>
      <c r="AA431" s="25">
        <v>390</v>
      </c>
      <c r="AB431" s="36">
        <v>0.75975000000000004</v>
      </c>
      <c r="AC431" s="51">
        <v>64.012500000000003</v>
      </c>
      <c r="AD431" s="4">
        <v>71.531999999999996</v>
      </c>
      <c r="AE431" s="25">
        <v>383</v>
      </c>
      <c r="AF431" s="36">
        <v>0.76412999999999998</v>
      </c>
      <c r="AG431" s="51">
        <v>64.087500000000006</v>
      </c>
      <c r="AH431" s="4">
        <v>71.573999999999998</v>
      </c>
      <c r="AI431" s="25">
        <v>383</v>
      </c>
      <c r="AJ431" s="36">
        <v>0.76337999999999995</v>
      </c>
      <c r="AL431" s="84"/>
      <c r="AM431" s="84"/>
      <c r="AO431" s="85"/>
    </row>
    <row r="432" spans="2:41" x14ac:dyDescent="0.2">
      <c r="B432" s="105"/>
      <c r="C432" s="105"/>
      <c r="D432" s="29">
        <v>21</v>
      </c>
      <c r="E432" s="4">
        <v>61.26</v>
      </c>
      <c r="F432" s="4">
        <v>69.944999999999993</v>
      </c>
      <c r="G432" s="1">
        <v>394</v>
      </c>
      <c r="H432" s="33">
        <v>0.78886999999999996</v>
      </c>
      <c r="I432" s="4">
        <v>57.662500000000001</v>
      </c>
      <c r="J432" s="4">
        <v>28.65</v>
      </c>
      <c r="K432" s="1">
        <v>3320</v>
      </c>
      <c r="L432" s="33">
        <v>9.3369999999999995E-2</v>
      </c>
      <c r="M432" s="4">
        <v>54.05</v>
      </c>
      <c r="N432" s="4">
        <v>67.777000000000001</v>
      </c>
      <c r="O432" s="1">
        <v>134</v>
      </c>
      <c r="P432" s="33">
        <v>0.92600000000000005</v>
      </c>
      <c r="Q432" s="4">
        <v>60.262500000000003</v>
      </c>
      <c r="R432" s="4">
        <v>69.587999999999994</v>
      </c>
      <c r="S432" s="1">
        <v>363</v>
      </c>
      <c r="T432" s="33">
        <v>0.80662999999999996</v>
      </c>
      <c r="U432" s="4">
        <v>61.037500000000001</v>
      </c>
      <c r="V432" s="4">
        <v>69.881</v>
      </c>
      <c r="W432" s="1">
        <v>384</v>
      </c>
      <c r="X432" s="33">
        <v>0.79362999999999995</v>
      </c>
      <c r="Y432" s="4">
        <v>61.274999999999999</v>
      </c>
      <c r="Z432" s="4">
        <v>69.933999999999997</v>
      </c>
      <c r="AA432" s="1">
        <v>397</v>
      </c>
      <c r="AB432" s="33">
        <v>0.78800000000000003</v>
      </c>
      <c r="AC432" s="4">
        <v>61.274999999999999</v>
      </c>
      <c r="AD432" s="4">
        <v>69.94</v>
      </c>
      <c r="AE432" s="1">
        <v>396</v>
      </c>
      <c r="AF432" s="33">
        <v>0.78825000000000001</v>
      </c>
      <c r="AG432" s="4">
        <v>61.274999999999999</v>
      </c>
      <c r="AH432" s="4">
        <v>69.951999999999998</v>
      </c>
      <c r="AI432" s="1">
        <v>394</v>
      </c>
      <c r="AJ432" s="33">
        <v>0.78874999999999995</v>
      </c>
      <c r="AL432" s="84"/>
      <c r="AM432" s="84"/>
      <c r="AO432" s="85"/>
    </row>
    <row r="433" spans="1:41" x14ac:dyDescent="0.2">
      <c r="B433" s="105"/>
      <c r="C433" s="105"/>
      <c r="D433" s="29">
        <v>47</v>
      </c>
      <c r="E433" s="4">
        <v>65.69</v>
      </c>
      <c r="F433" s="4">
        <v>72.010000000000005</v>
      </c>
      <c r="G433" s="1">
        <v>469</v>
      </c>
      <c r="H433" s="33">
        <v>0.72587999999999997</v>
      </c>
      <c r="I433" s="4">
        <v>50</v>
      </c>
      <c r="J433" s="4">
        <v>66.667000000000002</v>
      </c>
      <c r="K433" s="1">
        <v>0</v>
      </c>
      <c r="L433" s="33">
        <v>1</v>
      </c>
      <c r="M433" s="4">
        <v>64.5</v>
      </c>
      <c r="N433" s="4">
        <v>71.451999999999998</v>
      </c>
      <c r="O433" s="1">
        <v>446</v>
      </c>
      <c r="P433" s="33">
        <v>0.74350000000000005</v>
      </c>
      <c r="Q433" s="4">
        <v>63.05</v>
      </c>
      <c r="R433" s="4">
        <v>71.227999999999994</v>
      </c>
      <c r="S433" s="1">
        <v>341</v>
      </c>
      <c r="T433" s="33">
        <v>0.78425</v>
      </c>
      <c r="U433" s="4">
        <v>65.349999999999994</v>
      </c>
      <c r="V433" s="4">
        <v>71.869</v>
      </c>
      <c r="W433" s="1">
        <v>459</v>
      </c>
      <c r="X433" s="33">
        <v>0.73175000000000001</v>
      </c>
      <c r="Y433" s="4">
        <v>65.737499999999997</v>
      </c>
      <c r="Z433" s="4">
        <v>71.988</v>
      </c>
      <c r="AA433" s="1">
        <v>478</v>
      </c>
      <c r="AB433" s="33">
        <v>0.72313000000000005</v>
      </c>
      <c r="AC433" s="4">
        <v>65.762500000000003</v>
      </c>
      <c r="AD433" s="4">
        <v>72.031000000000006</v>
      </c>
      <c r="AE433" s="1">
        <v>473</v>
      </c>
      <c r="AF433" s="33">
        <v>0.72413000000000005</v>
      </c>
      <c r="AG433" s="4">
        <v>65.737499999999997</v>
      </c>
      <c r="AH433" s="4">
        <v>72.039000000000001</v>
      </c>
      <c r="AI433" s="1">
        <v>469</v>
      </c>
      <c r="AJ433" s="33">
        <v>0.72536999999999996</v>
      </c>
      <c r="AL433" s="84"/>
      <c r="AM433" s="84"/>
      <c r="AO433" s="85"/>
    </row>
    <row r="434" spans="1:41" x14ac:dyDescent="0.2">
      <c r="B434" s="105"/>
      <c r="C434" s="105"/>
      <c r="D434" s="29">
        <v>50</v>
      </c>
      <c r="E434" s="4">
        <v>65.510000000000005</v>
      </c>
      <c r="F434" s="4">
        <v>71.855999999999995</v>
      </c>
      <c r="G434" s="1">
        <v>478</v>
      </c>
      <c r="H434" s="33">
        <v>0.72536999999999996</v>
      </c>
      <c r="I434" s="4">
        <v>50.012500000000003</v>
      </c>
      <c r="J434" s="4">
        <v>0.05</v>
      </c>
      <c r="K434" s="1">
        <v>3999</v>
      </c>
      <c r="L434" s="33">
        <v>1.2999999999999999E-4</v>
      </c>
      <c r="M434" s="4">
        <v>63.712499999999999</v>
      </c>
      <c r="N434" s="4">
        <v>71.289000000000001</v>
      </c>
      <c r="O434" s="1">
        <v>396</v>
      </c>
      <c r="P434" s="33">
        <v>0.76387000000000005</v>
      </c>
      <c r="Q434" s="4">
        <v>64.650000000000006</v>
      </c>
      <c r="R434" s="4">
        <v>71.600999999999999</v>
      </c>
      <c r="S434" s="1">
        <v>435</v>
      </c>
      <c r="T434" s="33">
        <v>0.74475000000000002</v>
      </c>
      <c r="U434" s="4">
        <v>66.075000000000003</v>
      </c>
      <c r="V434" s="4">
        <v>72.09</v>
      </c>
      <c r="W434" s="1">
        <v>495</v>
      </c>
      <c r="X434" s="33">
        <v>0.71550000000000002</v>
      </c>
      <c r="Y434" s="4">
        <v>65.4375</v>
      </c>
      <c r="Z434" s="4">
        <v>71.852000000000004</v>
      </c>
      <c r="AA434" s="1">
        <v>471</v>
      </c>
      <c r="AB434" s="33">
        <v>0.72787999999999997</v>
      </c>
      <c r="AC434" s="4">
        <v>65.537499999999994</v>
      </c>
      <c r="AD434" s="4">
        <v>71.864000000000004</v>
      </c>
      <c r="AE434" s="1">
        <v>479</v>
      </c>
      <c r="AF434" s="33">
        <v>0.72487999999999997</v>
      </c>
      <c r="AG434" s="4">
        <v>65.537499999999994</v>
      </c>
      <c r="AH434" s="4">
        <v>71.864000000000004</v>
      </c>
      <c r="AI434" s="1">
        <v>479</v>
      </c>
      <c r="AJ434" s="33">
        <v>0.72487999999999997</v>
      </c>
      <c r="AL434" s="84"/>
      <c r="AM434" s="84"/>
      <c r="AO434" s="85"/>
    </row>
    <row r="435" spans="1:41" x14ac:dyDescent="0.2">
      <c r="B435" s="105"/>
      <c r="C435" s="105"/>
      <c r="D435" s="30">
        <v>91</v>
      </c>
      <c r="E435" s="27">
        <v>62.12</v>
      </c>
      <c r="F435" s="27">
        <v>70.86</v>
      </c>
      <c r="G435" s="26">
        <v>316</v>
      </c>
      <c r="H435" s="52">
        <v>0.79974999999999996</v>
      </c>
      <c r="I435" s="27">
        <v>50.137500000000003</v>
      </c>
      <c r="J435" s="27">
        <v>66.716999999999999</v>
      </c>
      <c r="K435" s="26">
        <v>2</v>
      </c>
      <c r="L435" s="52">
        <v>0.99812999999999996</v>
      </c>
      <c r="M435" s="27">
        <v>55.524999999999999</v>
      </c>
      <c r="N435" s="27">
        <v>68.524000000000001</v>
      </c>
      <c r="O435" s="26">
        <v>127</v>
      </c>
      <c r="P435" s="52">
        <v>0.91300000000000003</v>
      </c>
      <c r="Q435" s="27">
        <v>61.137500000000003</v>
      </c>
      <c r="R435" s="27">
        <v>70.561000000000007</v>
      </c>
      <c r="S435" s="26">
        <v>274</v>
      </c>
      <c r="T435" s="52">
        <v>0.82011999999999996</v>
      </c>
      <c r="U435" s="27">
        <v>62.712499999999999</v>
      </c>
      <c r="V435" s="27">
        <v>71.114999999999995</v>
      </c>
      <c r="W435" s="26">
        <v>328</v>
      </c>
      <c r="X435" s="52">
        <v>0.79086999999999996</v>
      </c>
      <c r="Y435" s="27">
        <v>61.975000000000001</v>
      </c>
      <c r="Z435" s="27">
        <v>70.784000000000006</v>
      </c>
      <c r="AA435" s="26">
        <v>315</v>
      </c>
      <c r="AB435" s="52">
        <v>0.80149999999999999</v>
      </c>
      <c r="AC435" s="27">
        <v>62.237499999999997</v>
      </c>
      <c r="AD435" s="27">
        <v>70.915999999999997</v>
      </c>
      <c r="AE435" s="26">
        <v>317</v>
      </c>
      <c r="AF435" s="52">
        <v>0.79837000000000002</v>
      </c>
      <c r="AG435" s="27">
        <v>62.125</v>
      </c>
      <c r="AH435" s="27">
        <v>70.86</v>
      </c>
      <c r="AI435" s="26">
        <v>316</v>
      </c>
      <c r="AJ435" s="52">
        <v>0.79974999999999996</v>
      </c>
      <c r="AL435" s="84"/>
      <c r="AM435" s="84"/>
      <c r="AO435" s="85"/>
    </row>
    <row r="436" spans="1:41" x14ac:dyDescent="0.2">
      <c r="B436" s="106"/>
      <c r="C436" s="106"/>
      <c r="D436" s="6" t="s">
        <v>8</v>
      </c>
      <c r="E436" s="7">
        <f t="shared" ref="E436:AJ436" si="32">AVERAGE(E431:E435)</f>
        <v>63.727999999999994</v>
      </c>
      <c r="F436" s="7">
        <f t="shared" si="32"/>
        <v>71.246200000000002</v>
      </c>
      <c r="G436" s="35">
        <f t="shared" si="32"/>
        <v>408</v>
      </c>
      <c r="H436" s="34">
        <f t="shared" si="32"/>
        <v>0.76069799999999987</v>
      </c>
      <c r="I436" s="7">
        <f t="shared" si="32"/>
        <v>55.972500000000004</v>
      </c>
      <c r="J436" s="7">
        <f t="shared" si="32"/>
        <v>47.234800000000007</v>
      </c>
      <c r="K436" s="35">
        <f t="shared" si="32"/>
        <v>1624.8</v>
      </c>
      <c r="L436" s="34">
        <f t="shared" si="32"/>
        <v>0.534076</v>
      </c>
      <c r="M436" s="7">
        <f t="shared" si="32"/>
        <v>58.8125</v>
      </c>
      <c r="N436" s="7">
        <f t="shared" si="32"/>
        <v>69.552999999999997</v>
      </c>
      <c r="O436" s="35">
        <f t="shared" si="32"/>
        <v>252</v>
      </c>
      <c r="P436" s="34">
        <f t="shared" si="32"/>
        <v>0.84887400000000002</v>
      </c>
      <c r="Q436" s="7">
        <f t="shared" si="32"/>
        <v>63.422499999999999</v>
      </c>
      <c r="R436" s="7">
        <f t="shared" si="32"/>
        <v>71.164200000000008</v>
      </c>
      <c r="S436" s="35">
        <f t="shared" si="32"/>
        <v>396.2</v>
      </c>
      <c r="T436" s="34">
        <f t="shared" si="32"/>
        <v>0.76672600000000002</v>
      </c>
      <c r="U436" s="7">
        <f t="shared" si="32"/>
        <v>63.784999999999989</v>
      </c>
      <c r="V436" s="7">
        <f t="shared" si="32"/>
        <v>71.2834</v>
      </c>
      <c r="W436" s="35">
        <f t="shared" si="32"/>
        <v>407</v>
      </c>
      <c r="X436" s="34">
        <f t="shared" si="32"/>
        <v>0.76039999999999996</v>
      </c>
      <c r="Y436" s="7">
        <f t="shared" si="32"/>
        <v>63.740000000000009</v>
      </c>
      <c r="Z436" s="7">
        <f t="shared" si="32"/>
        <v>71.239799999999988</v>
      </c>
      <c r="AA436" s="35">
        <f t="shared" si="32"/>
        <v>410.2</v>
      </c>
      <c r="AB436" s="34">
        <f t="shared" si="32"/>
        <v>0.76005199999999995</v>
      </c>
      <c r="AC436" s="7">
        <f t="shared" si="32"/>
        <v>63.765000000000001</v>
      </c>
      <c r="AD436" s="7">
        <f t="shared" si="32"/>
        <v>71.256599999999992</v>
      </c>
      <c r="AE436" s="35">
        <f t="shared" si="32"/>
        <v>409.6</v>
      </c>
      <c r="AF436" s="34">
        <f t="shared" si="32"/>
        <v>0.75995199999999996</v>
      </c>
      <c r="AG436" s="7">
        <f t="shared" si="32"/>
        <v>63.752500000000012</v>
      </c>
      <c r="AH436" s="7">
        <f t="shared" si="32"/>
        <v>71.257800000000003</v>
      </c>
      <c r="AI436" s="35">
        <f t="shared" si="32"/>
        <v>408.2</v>
      </c>
      <c r="AJ436" s="34">
        <f t="shared" si="32"/>
        <v>0.76042599999999994</v>
      </c>
      <c r="AM436" s="1">
        <f>(E436-Q436)*100/E436</f>
        <v>0.47938111975896786</v>
      </c>
      <c r="AN436" s="1">
        <f>(E436-U436)*100/E436</f>
        <v>-8.9442631182517982E-2</v>
      </c>
    </row>
    <row r="441" spans="1:41" x14ac:dyDescent="0.2">
      <c r="A441" s="24" t="s">
        <v>38</v>
      </c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 spans="1:4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41" x14ac:dyDescent="0.2">
      <c r="A443" s="1"/>
      <c r="B443" s="1" t="s">
        <v>39</v>
      </c>
      <c r="C443" s="1" t="s">
        <v>63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4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 t="s">
        <v>64</v>
      </c>
      <c r="L444" s="1"/>
      <c r="M444" s="1"/>
      <c r="N444" s="1"/>
      <c r="O444" s="1"/>
      <c r="P444" s="1"/>
      <c r="Q444" s="1"/>
      <c r="R444" s="1"/>
      <c r="S444" s="1"/>
      <c r="T444" s="1"/>
    </row>
    <row r="445" spans="1:41" x14ac:dyDescent="0.2">
      <c r="A445" s="1"/>
      <c r="B445" s="100" t="s">
        <v>23</v>
      </c>
      <c r="C445" s="107" t="s">
        <v>0</v>
      </c>
      <c r="D445" s="108"/>
      <c r="E445" s="108"/>
      <c r="F445" s="108"/>
      <c r="G445" s="108"/>
      <c r="H445" s="108"/>
      <c r="I445" s="107" t="s">
        <v>39</v>
      </c>
      <c r="J445" s="111"/>
      <c r="K445" s="107" t="s">
        <v>42</v>
      </c>
      <c r="L445" s="111"/>
      <c r="M445" s="1"/>
      <c r="N445" s="1"/>
      <c r="O445" s="1"/>
      <c r="P445" s="1"/>
      <c r="Q445" s="1"/>
      <c r="R445" s="1"/>
      <c r="S445" s="1"/>
      <c r="T445" s="1"/>
    </row>
    <row r="446" spans="1:41" x14ac:dyDescent="0.2">
      <c r="A446" s="1"/>
      <c r="B446" s="101"/>
      <c r="C446" s="19" t="s">
        <v>3</v>
      </c>
      <c r="D446" s="1" t="s">
        <v>4</v>
      </c>
      <c r="E446" s="1" t="s">
        <v>6</v>
      </c>
      <c r="F446" s="2" t="s">
        <v>7</v>
      </c>
      <c r="G446" s="1" t="s">
        <v>24</v>
      </c>
      <c r="H446" s="8" t="s">
        <v>25</v>
      </c>
      <c r="I446" s="8" t="s">
        <v>43</v>
      </c>
      <c r="J446" s="8" t="s">
        <v>44</v>
      </c>
      <c r="K446" s="8" t="s">
        <v>43</v>
      </c>
      <c r="L446" s="8" t="s">
        <v>44</v>
      </c>
      <c r="M446" s="1"/>
      <c r="N446" s="1"/>
      <c r="O446" s="1"/>
      <c r="P446" s="1"/>
      <c r="Q446" s="1"/>
      <c r="R446" s="1"/>
      <c r="S446" s="1"/>
      <c r="T446" s="1"/>
    </row>
    <row r="447" spans="1:41" x14ac:dyDescent="0.2">
      <c r="A447" s="1"/>
      <c r="B447" s="102">
        <v>1</v>
      </c>
      <c r="C447" s="104">
        <v>8</v>
      </c>
      <c r="D447" s="28">
        <v>13</v>
      </c>
      <c r="E447" s="51">
        <v>71.28</v>
      </c>
      <c r="F447" s="4">
        <v>72.802999999999997</v>
      </c>
      <c r="G447" s="25">
        <v>1017</v>
      </c>
      <c r="H447" s="36">
        <v>0.56989999999999996</v>
      </c>
      <c r="I447" s="36"/>
      <c r="J447" s="36"/>
      <c r="K447" s="36">
        <v>0.16502</v>
      </c>
      <c r="L447" s="36">
        <v>0.31097999999999998</v>
      </c>
      <c r="M447" s="1"/>
      <c r="N447" s="1"/>
      <c r="O447" s="1"/>
      <c r="P447" s="1"/>
      <c r="Q447" s="1"/>
      <c r="R447" s="1"/>
      <c r="S447" s="1"/>
      <c r="T447" s="1"/>
    </row>
    <row r="448" spans="1:41" x14ac:dyDescent="0.2">
      <c r="A448" s="1"/>
      <c r="B448" s="103"/>
      <c r="C448" s="105"/>
      <c r="D448" s="29">
        <v>21</v>
      </c>
      <c r="E448" s="4">
        <v>71.13</v>
      </c>
      <c r="F448" s="4">
        <v>72.683999999999997</v>
      </c>
      <c r="G448" s="1">
        <v>1020</v>
      </c>
      <c r="H448" s="33">
        <v>0.57079999999999997</v>
      </c>
      <c r="I448" s="33"/>
      <c r="J448" s="33"/>
      <c r="K448" s="33">
        <v>0.14924000000000001</v>
      </c>
      <c r="L448" s="33">
        <v>0.27811000000000002</v>
      </c>
      <c r="M448" s="1"/>
      <c r="N448" s="1"/>
      <c r="O448" s="1"/>
      <c r="P448" s="1"/>
      <c r="Q448" s="1"/>
      <c r="R448" s="1"/>
      <c r="S448" s="1"/>
      <c r="T448" s="1"/>
    </row>
    <row r="449" spans="1:20" x14ac:dyDescent="0.2">
      <c r="A449" s="1"/>
      <c r="B449" s="103"/>
      <c r="C449" s="105"/>
      <c r="D449" s="29">
        <v>47</v>
      </c>
      <c r="E449" s="4">
        <v>71.73</v>
      </c>
      <c r="F449" s="4">
        <v>72.013000000000005</v>
      </c>
      <c r="G449" s="1">
        <v>1224</v>
      </c>
      <c r="H449" s="33">
        <v>0.52400000000000002</v>
      </c>
      <c r="I449" s="33"/>
      <c r="J449" s="33"/>
      <c r="K449" s="33">
        <v>0.14135</v>
      </c>
      <c r="L449" s="33">
        <v>0.18606</v>
      </c>
      <c r="M449" s="1"/>
      <c r="N449" s="1"/>
      <c r="O449" s="1"/>
      <c r="P449" s="1"/>
      <c r="Q449" s="1"/>
      <c r="R449" s="1"/>
      <c r="S449" s="1"/>
      <c r="T449" s="1"/>
    </row>
    <row r="450" spans="1:20" x14ac:dyDescent="0.2">
      <c r="A450" s="1"/>
      <c r="B450" s="103"/>
      <c r="C450" s="105"/>
      <c r="D450" s="29">
        <v>50</v>
      </c>
      <c r="E450" s="4">
        <v>71.08</v>
      </c>
      <c r="F450" s="4">
        <v>72.53</v>
      </c>
      <c r="G450" s="1">
        <v>1043</v>
      </c>
      <c r="H450" s="33">
        <v>0.56669999999999998</v>
      </c>
      <c r="I450" s="33"/>
      <c r="J450" s="33"/>
      <c r="K450" s="33">
        <v>0.12689</v>
      </c>
      <c r="L450" s="33">
        <v>0.29126000000000002</v>
      </c>
      <c r="M450" s="1"/>
      <c r="N450" s="1"/>
      <c r="O450" s="1"/>
      <c r="P450" s="1"/>
      <c r="Q450" s="1"/>
      <c r="R450" s="1"/>
      <c r="S450" s="1"/>
      <c r="T450" s="1"/>
    </row>
    <row r="451" spans="1:20" x14ac:dyDescent="0.2">
      <c r="A451" s="1"/>
      <c r="B451" s="103"/>
      <c r="C451" s="105"/>
      <c r="D451" s="30">
        <v>91</v>
      </c>
      <c r="E451" s="27">
        <v>68.42</v>
      </c>
      <c r="F451" s="27">
        <v>70.629000000000005</v>
      </c>
      <c r="G451" s="26">
        <v>1064</v>
      </c>
      <c r="H451" s="52">
        <v>0.58909999999999996</v>
      </c>
      <c r="I451" s="52"/>
      <c r="J451" s="52"/>
      <c r="K451" s="52">
        <v>0.16239000000000001</v>
      </c>
      <c r="L451" s="52">
        <v>0.15581999999999999</v>
      </c>
      <c r="M451" s="1"/>
      <c r="N451" s="1"/>
      <c r="O451" s="1"/>
      <c r="P451" s="1"/>
      <c r="Q451" s="1"/>
      <c r="R451" s="1"/>
      <c r="S451" s="1"/>
      <c r="T451" s="1"/>
    </row>
    <row r="452" spans="1:20" x14ac:dyDescent="0.2">
      <c r="A452" s="1"/>
      <c r="B452" s="101"/>
      <c r="C452" s="105"/>
      <c r="D452" s="6" t="s">
        <v>8</v>
      </c>
      <c r="E452" s="7">
        <f>AVERAGE(E447:E451)</f>
        <v>70.727999999999994</v>
      </c>
      <c r="F452" s="7">
        <f>AVERAGE(F447:F451)</f>
        <v>72.131799999999998</v>
      </c>
      <c r="G452" s="35">
        <f>AVERAGE(G447:G451)</f>
        <v>1073.5999999999999</v>
      </c>
      <c r="H452" s="34">
        <f>AVERAGE(H447:H451)</f>
        <v>0.56410000000000005</v>
      </c>
      <c r="I452" s="34" t="e">
        <f t="shared" ref="I452:L452" si="33">AVERAGE(I447:I451)</f>
        <v>#DIV/0!</v>
      </c>
      <c r="J452" s="34" t="e">
        <f t="shared" si="33"/>
        <v>#DIV/0!</v>
      </c>
      <c r="K452" s="34">
        <f t="shared" si="33"/>
        <v>0.148978</v>
      </c>
      <c r="L452" s="34">
        <f t="shared" si="33"/>
        <v>0.24444600000000002</v>
      </c>
      <c r="M452" s="1"/>
      <c r="N452" s="1"/>
      <c r="O452" s="1"/>
      <c r="P452" s="1"/>
      <c r="Q452" s="1"/>
      <c r="R452" s="1"/>
      <c r="S452" s="1"/>
      <c r="T452" s="1"/>
    </row>
    <row r="453" spans="1:20" x14ac:dyDescent="0.2">
      <c r="A453" s="1"/>
      <c r="B453" s="104">
        <v>1.2</v>
      </c>
      <c r="C453" s="105"/>
      <c r="D453" s="28">
        <v>13</v>
      </c>
      <c r="E453" s="25">
        <v>71.08</v>
      </c>
      <c r="F453" s="25">
        <v>72.058000000000007</v>
      </c>
      <c r="G453" s="25">
        <v>1132</v>
      </c>
      <c r="H453" s="36">
        <v>0.54890000000000005</v>
      </c>
      <c r="I453" s="36"/>
      <c r="J453" s="36"/>
      <c r="K453" s="36">
        <v>0.15779000000000001</v>
      </c>
      <c r="L453" s="36">
        <v>0.27942</v>
      </c>
      <c r="M453" s="1"/>
      <c r="N453" s="1"/>
      <c r="O453" s="1"/>
      <c r="P453" s="1"/>
      <c r="Q453" s="1"/>
      <c r="R453" s="1"/>
      <c r="S453" s="1"/>
      <c r="T453" s="1"/>
    </row>
    <row r="454" spans="1:20" x14ac:dyDescent="0.2">
      <c r="A454" s="1"/>
      <c r="B454" s="105"/>
      <c r="C454" s="105"/>
      <c r="D454" s="29">
        <v>21</v>
      </c>
      <c r="E454" s="4">
        <v>70.959999999999994</v>
      </c>
      <c r="F454" s="4">
        <v>72.022999999999996</v>
      </c>
      <c r="G454" s="1">
        <v>1123</v>
      </c>
      <c r="H454" s="33">
        <v>0.55189999999999995</v>
      </c>
      <c r="I454" s="33"/>
      <c r="J454" s="33"/>
      <c r="K454" s="33">
        <v>0.15976000000000001</v>
      </c>
      <c r="L454" s="33">
        <v>0.29060000000000002</v>
      </c>
      <c r="M454" s="1"/>
      <c r="N454" s="1"/>
      <c r="O454" s="1"/>
      <c r="P454" s="1"/>
      <c r="Q454" s="1"/>
      <c r="R454" s="1"/>
      <c r="S454" s="1"/>
      <c r="T454" s="1"/>
    </row>
    <row r="455" spans="1:20" x14ac:dyDescent="0.2">
      <c r="A455" s="1"/>
      <c r="B455" s="105"/>
      <c r="C455" s="105"/>
      <c r="D455" s="29">
        <v>47</v>
      </c>
      <c r="E455" s="4">
        <v>70.959999999999994</v>
      </c>
      <c r="F455" s="4">
        <v>71.412000000000006</v>
      </c>
      <c r="G455" s="1">
        <v>1234</v>
      </c>
      <c r="H455" s="33">
        <v>0.52969999999999995</v>
      </c>
      <c r="I455" s="33"/>
      <c r="J455" s="33"/>
      <c r="K455" s="33">
        <v>0.13411999999999999</v>
      </c>
      <c r="L455" s="33">
        <v>0.15845000000000001</v>
      </c>
      <c r="M455" s="1"/>
      <c r="N455" s="1"/>
      <c r="O455" s="1"/>
      <c r="P455" s="1"/>
      <c r="Q455" s="1"/>
      <c r="R455" s="1"/>
      <c r="S455" s="1"/>
      <c r="T455" s="1"/>
    </row>
    <row r="456" spans="1:20" x14ac:dyDescent="0.2">
      <c r="A456" s="1"/>
      <c r="B456" s="105"/>
      <c r="C456" s="105"/>
      <c r="D456" s="29">
        <v>50</v>
      </c>
      <c r="E456" s="4">
        <v>70.680000000000007</v>
      </c>
      <c r="F456" s="4">
        <v>73.489999999999995</v>
      </c>
      <c r="G456" s="1">
        <v>797</v>
      </c>
      <c r="H456" s="33">
        <v>0.61990000000000001</v>
      </c>
      <c r="I456" s="33"/>
      <c r="J456" s="33"/>
      <c r="K456" s="33">
        <v>0.13675000000000001</v>
      </c>
      <c r="L456" s="33">
        <v>0.28927999999999998</v>
      </c>
      <c r="M456" s="1"/>
      <c r="N456" s="1"/>
      <c r="O456" s="1"/>
      <c r="P456" s="1"/>
      <c r="Q456" s="1"/>
      <c r="R456" s="1"/>
      <c r="S456" s="1"/>
      <c r="T456" s="1"/>
    </row>
    <row r="457" spans="1:20" x14ac:dyDescent="0.2">
      <c r="A457" s="1"/>
      <c r="B457" s="105"/>
      <c r="C457" s="105"/>
      <c r="D457" s="30">
        <v>91</v>
      </c>
      <c r="E457" s="27">
        <v>69.25</v>
      </c>
      <c r="F457" s="27">
        <v>71.031999999999996</v>
      </c>
      <c r="G457" s="26">
        <v>1091</v>
      </c>
      <c r="H457" s="52">
        <v>0.57540000000000002</v>
      </c>
      <c r="I457" s="52"/>
      <c r="J457" s="52"/>
      <c r="K457" s="52">
        <v>0.14990000000000001</v>
      </c>
      <c r="L457" s="52">
        <v>0.11637</v>
      </c>
      <c r="M457" s="1"/>
      <c r="N457" s="1"/>
      <c r="O457" s="1"/>
      <c r="P457" s="1"/>
      <c r="Q457" s="1"/>
      <c r="R457" s="1"/>
      <c r="S457" s="1"/>
      <c r="T457" s="1"/>
    </row>
    <row r="458" spans="1:20" x14ac:dyDescent="0.2">
      <c r="A458" s="1"/>
      <c r="B458" s="106"/>
      <c r="C458" s="105"/>
      <c r="D458" s="6" t="s">
        <v>8</v>
      </c>
      <c r="E458" s="7">
        <f>AVERAGE(E453:E457)</f>
        <v>70.585999999999999</v>
      </c>
      <c r="F458" s="7">
        <f>AVERAGE(F453:F457)</f>
        <v>72.003</v>
      </c>
      <c r="G458" s="35">
        <f>AVERAGE(G453:G457)</f>
        <v>1075.4000000000001</v>
      </c>
      <c r="H458" s="34">
        <f>AVERAGE(H453:H457)</f>
        <v>0.56516</v>
      </c>
      <c r="I458" s="34" t="e">
        <f t="shared" ref="I458:K458" si="34">AVERAGE(I453:I457)</f>
        <v>#DIV/0!</v>
      </c>
      <c r="J458" s="34" t="e">
        <f t="shared" si="34"/>
        <v>#DIV/0!</v>
      </c>
      <c r="K458" s="34">
        <f t="shared" si="34"/>
        <v>0.14766400000000002</v>
      </c>
      <c r="L458" s="34">
        <f>AVERAGE(L453:L457)</f>
        <v>0.226824</v>
      </c>
      <c r="M458" s="1"/>
      <c r="N458" s="1"/>
      <c r="O458" s="1"/>
      <c r="P458" s="1"/>
      <c r="Q458" s="1"/>
      <c r="R458" s="1"/>
      <c r="S458" s="1"/>
      <c r="T458" s="1"/>
    </row>
    <row r="459" spans="1:20" x14ac:dyDescent="0.2">
      <c r="A459" s="1"/>
      <c r="B459" s="104">
        <v>1.4</v>
      </c>
      <c r="C459" s="105"/>
      <c r="D459" s="28">
        <v>13</v>
      </c>
      <c r="E459" s="25">
        <v>66.84</v>
      </c>
      <c r="F459" s="51">
        <v>73.192999999999998</v>
      </c>
      <c r="G459" s="25">
        <v>334</v>
      </c>
      <c r="H459" s="36">
        <v>0.75090000000000001</v>
      </c>
      <c r="I459" s="36"/>
      <c r="J459" s="36"/>
      <c r="K459" s="36">
        <v>0.14463999999999999</v>
      </c>
      <c r="L459" s="36">
        <v>0.19855</v>
      </c>
      <c r="M459" s="1"/>
      <c r="N459" s="1"/>
      <c r="O459" s="1"/>
      <c r="P459" s="1"/>
      <c r="Q459" s="1"/>
      <c r="R459" s="1"/>
      <c r="S459" s="1"/>
      <c r="T459" s="1"/>
    </row>
    <row r="460" spans="1:20" x14ac:dyDescent="0.2">
      <c r="A460" s="1"/>
      <c r="B460" s="105"/>
      <c r="C460" s="105"/>
      <c r="D460" s="29">
        <v>21</v>
      </c>
      <c r="E460" s="4">
        <v>67.91</v>
      </c>
      <c r="F460" s="4">
        <v>73.507999999999996</v>
      </c>
      <c r="G460" s="1">
        <v>409</v>
      </c>
      <c r="H460" s="33">
        <v>0.72519999999999996</v>
      </c>
      <c r="I460" s="33"/>
      <c r="J460" s="33"/>
      <c r="K460" s="33">
        <v>0.15187</v>
      </c>
      <c r="L460" s="33">
        <v>0.16370999999999999</v>
      </c>
      <c r="M460" s="1"/>
      <c r="N460" s="1"/>
      <c r="O460" s="1"/>
      <c r="P460" s="1"/>
      <c r="Q460" s="1"/>
      <c r="R460" s="1"/>
      <c r="S460" s="1"/>
      <c r="T460" s="1"/>
    </row>
    <row r="461" spans="1:20" x14ac:dyDescent="0.2">
      <c r="A461" s="1"/>
      <c r="B461" s="105"/>
      <c r="C461" s="105"/>
      <c r="D461" s="29">
        <v>47</v>
      </c>
      <c r="E461" s="4">
        <v>68.23</v>
      </c>
      <c r="F461" s="4">
        <v>73.483000000000004</v>
      </c>
      <c r="G461" s="1">
        <v>459</v>
      </c>
      <c r="H461" s="33">
        <v>0.71199999999999997</v>
      </c>
      <c r="I461" s="33"/>
      <c r="J461" s="33"/>
      <c r="K461" s="33">
        <v>0.11243</v>
      </c>
      <c r="L461" s="33">
        <v>0.20447000000000001</v>
      </c>
      <c r="M461" s="1"/>
      <c r="N461" s="1"/>
      <c r="O461" s="1"/>
      <c r="P461" s="1"/>
      <c r="Q461" s="1"/>
      <c r="R461" s="1"/>
      <c r="S461" s="1"/>
      <c r="T461" s="1"/>
    </row>
    <row r="462" spans="1:20" x14ac:dyDescent="0.2">
      <c r="A462" s="1"/>
      <c r="B462" s="105"/>
      <c r="C462" s="105"/>
      <c r="D462" s="29">
        <v>50</v>
      </c>
      <c r="E462" s="4">
        <v>67.91</v>
      </c>
      <c r="F462" s="4">
        <v>73.171000000000006</v>
      </c>
      <c r="G462" s="1">
        <v>485</v>
      </c>
      <c r="H462" s="33">
        <v>0.71</v>
      </c>
      <c r="I462" s="33"/>
      <c r="J462" s="33"/>
      <c r="K462" s="33">
        <v>0.13214999999999999</v>
      </c>
      <c r="L462" s="33">
        <v>5.5879999999999999E-2</v>
      </c>
      <c r="M462" s="1"/>
      <c r="N462" s="1"/>
      <c r="O462" s="1"/>
      <c r="P462" s="1"/>
      <c r="Q462" s="1"/>
      <c r="R462" s="1"/>
      <c r="S462" s="1"/>
      <c r="T462" s="1"/>
    </row>
    <row r="463" spans="1:20" x14ac:dyDescent="0.2">
      <c r="A463" s="1"/>
      <c r="B463" s="105"/>
      <c r="C463" s="105"/>
      <c r="D463" s="30">
        <v>91</v>
      </c>
      <c r="E463" s="27">
        <v>66.400000000000006</v>
      </c>
      <c r="F463" s="27">
        <v>72.367999999999995</v>
      </c>
      <c r="G463" s="26">
        <v>461</v>
      </c>
      <c r="H463" s="52">
        <v>0.72989999999999999</v>
      </c>
      <c r="I463" s="52"/>
      <c r="J463" s="52"/>
      <c r="K463" s="52">
        <v>7.7579999999999996E-2</v>
      </c>
      <c r="L463" s="52">
        <v>4.3389999999999998E-2</v>
      </c>
      <c r="M463" s="1"/>
      <c r="N463" s="1"/>
      <c r="O463" s="1"/>
      <c r="P463" s="1"/>
      <c r="Q463" s="1"/>
      <c r="R463" s="1"/>
      <c r="S463" s="1"/>
      <c r="T463" s="1"/>
    </row>
    <row r="464" spans="1:20" x14ac:dyDescent="0.2">
      <c r="A464" s="1"/>
      <c r="B464" s="106"/>
      <c r="C464" s="106"/>
      <c r="D464" s="6" t="s">
        <v>8</v>
      </c>
      <c r="E464" s="7">
        <f>AVERAGE(E459:E463)</f>
        <v>67.457999999999998</v>
      </c>
      <c r="F464" s="7">
        <f>AVERAGE(F459:F463)</f>
        <v>73.144599999999997</v>
      </c>
      <c r="G464" s="35">
        <f>AVERAGE(G459:G463)</f>
        <v>429.6</v>
      </c>
      <c r="H464" s="34">
        <f>AVERAGE(H459:H463)</f>
        <v>0.72560000000000002</v>
      </c>
      <c r="I464" s="34" t="e">
        <f t="shared" ref="I464:L464" si="35">AVERAGE(I459:I463)</f>
        <v>#DIV/0!</v>
      </c>
      <c r="J464" s="34" t="e">
        <f t="shared" si="35"/>
        <v>#DIV/0!</v>
      </c>
      <c r="K464" s="34">
        <f t="shared" si="35"/>
        <v>0.12373399999999998</v>
      </c>
      <c r="L464" s="34">
        <f t="shared" si="35"/>
        <v>0.13320000000000004</v>
      </c>
      <c r="M464" s="1"/>
      <c r="N464" s="1"/>
      <c r="O464" s="1"/>
      <c r="P464" s="1"/>
      <c r="Q464" s="1"/>
      <c r="R464" s="1"/>
      <c r="S464" s="1"/>
      <c r="T464" s="1"/>
    </row>
    <row r="465" spans="1:20" x14ac:dyDescent="0.2">
      <c r="A465" s="1"/>
      <c r="B465" s="102">
        <v>1</v>
      </c>
      <c r="C465" s="104">
        <v>16</v>
      </c>
      <c r="D465" s="28">
        <v>13</v>
      </c>
      <c r="E465" s="25">
        <v>75.239999999999995</v>
      </c>
      <c r="F465" s="1">
        <v>75.06</v>
      </c>
      <c r="G465" s="25">
        <v>1136</v>
      </c>
      <c r="H465" s="31">
        <v>0.50700000000000001</v>
      </c>
      <c r="I465" s="36"/>
      <c r="J465" s="36"/>
      <c r="K465" s="36">
        <v>4.6019999999999998E-2</v>
      </c>
      <c r="L465" s="36">
        <v>0.14596000000000001</v>
      </c>
      <c r="M465" s="1"/>
      <c r="N465" s="1"/>
      <c r="O465" s="1"/>
      <c r="P465" s="1"/>
      <c r="Q465" s="1"/>
      <c r="R465" s="1"/>
      <c r="S465" s="1"/>
      <c r="T465" s="1"/>
    </row>
    <row r="466" spans="1:20" x14ac:dyDescent="0.2">
      <c r="A466" s="1"/>
      <c r="B466" s="103"/>
      <c r="C466" s="105"/>
      <c r="D466" s="29">
        <v>21</v>
      </c>
      <c r="E466" s="4">
        <v>75.33</v>
      </c>
      <c r="F466" s="4">
        <v>75.650000000000006</v>
      </c>
      <c r="G466" s="1">
        <v>1029</v>
      </c>
      <c r="H466" s="8">
        <v>0.52700000000000002</v>
      </c>
      <c r="I466" s="33"/>
      <c r="J466" s="33"/>
      <c r="K466" s="33">
        <v>4.734E-2</v>
      </c>
      <c r="L466" s="33">
        <v>6.9029999999999994E-2</v>
      </c>
      <c r="M466" s="1"/>
      <c r="N466" s="1"/>
      <c r="O466" s="1"/>
      <c r="P466" s="1"/>
      <c r="Q466" s="1"/>
      <c r="R466" s="1"/>
      <c r="S466" s="1"/>
      <c r="T466" s="1"/>
    </row>
    <row r="467" spans="1:20" x14ac:dyDescent="0.2">
      <c r="A467" s="1"/>
      <c r="B467" s="103"/>
      <c r="C467" s="105"/>
      <c r="D467" s="29">
        <v>47</v>
      </c>
      <c r="E467" s="4">
        <v>74.95</v>
      </c>
      <c r="F467" s="4">
        <v>75.31</v>
      </c>
      <c r="G467" s="1">
        <v>1041</v>
      </c>
      <c r="H467" s="8">
        <v>0.52800000000000002</v>
      </c>
      <c r="I467" s="33"/>
      <c r="J467" s="33"/>
      <c r="K467" s="33">
        <v>8.4809999999999997E-2</v>
      </c>
      <c r="L467" s="33">
        <v>7.5609999999999997E-2</v>
      </c>
      <c r="M467" s="1"/>
      <c r="N467" s="1"/>
      <c r="O467" s="1"/>
      <c r="P467" s="1"/>
      <c r="Q467" s="1"/>
      <c r="R467" s="1"/>
      <c r="S467" s="1"/>
      <c r="T467" s="1"/>
    </row>
    <row r="468" spans="1:20" x14ac:dyDescent="0.2">
      <c r="A468" s="1"/>
      <c r="B468" s="103"/>
      <c r="C468" s="105"/>
      <c r="D468" s="29">
        <v>50</v>
      </c>
      <c r="E468" s="4">
        <v>75.12</v>
      </c>
      <c r="F468" s="4">
        <v>74.900000000000006</v>
      </c>
      <c r="G468" s="1">
        <v>1148</v>
      </c>
      <c r="H468" s="8">
        <v>0.505</v>
      </c>
      <c r="I468" s="33"/>
      <c r="J468" s="33"/>
      <c r="K468" s="33">
        <v>0.10059</v>
      </c>
      <c r="L468" s="33">
        <v>0.13281000000000001</v>
      </c>
      <c r="M468" s="1"/>
      <c r="N468" s="1"/>
      <c r="O468" s="1"/>
      <c r="P468" s="1"/>
      <c r="Q468" s="1"/>
      <c r="R468" s="1"/>
      <c r="S468" s="1"/>
      <c r="T468" s="1"/>
    </row>
    <row r="469" spans="1:20" x14ac:dyDescent="0.2">
      <c r="A469" s="1"/>
      <c r="B469" s="103"/>
      <c r="C469" s="105"/>
      <c r="D469" s="30">
        <v>91</v>
      </c>
      <c r="E469" s="27">
        <v>72.7</v>
      </c>
      <c r="F469" s="27">
        <v>73.099999999999994</v>
      </c>
      <c r="G469" s="26">
        <v>1151</v>
      </c>
      <c r="H469" s="32">
        <v>0.52900000000000003</v>
      </c>
      <c r="I469" s="52"/>
      <c r="J469" s="52"/>
      <c r="K469" s="52">
        <v>9.7960000000000005E-2</v>
      </c>
      <c r="L469" s="52">
        <v>0.16633999999999999</v>
      </c>
      <c r="M469" s="1"/>
      <c r="N469" s="1"/>
      <c r="O469" s="1"/>
      <c r="P469" s="1"/>
      <c r="Q469" s="1"/>
      <c r="R469" s="1"/>
      <c r="S469" s="1"/>
      <c r="T469" s="1"/>
    </row>
    <row r="470" spans="1:20" x14ac:dyDescent="0.2">
      <c r="A470" s="1"/>
      <c r="B470" s="101"/>
      <c r="C470" s="105"/>
      <c r="D470" s="6" t="s">
        <v>8</v>
      </c>
      <c r="E470" s="7">
        <f>AVERAGE(E465:E469)</f>
        <v>74.667999999999992</v>
      </c>
      <c r="F470" s="7">
        <f>AVERAGE(F465:F469)</f>
        <v>74.804000000000002</v>
      </c>
      <c r="G470" s="35">
        <f t="shared" ref="G470:H470" si="36">AVERAGE(G465:G469)</f>
        <v>1101</v>
      </c>
      <c r="H470" s="34">
        <f t="shared" si="36"/>
        <v>0.51919999999999999</v>
      </c>
      <c r="I470" s="34" t="e">
        <f t="shared" ref="I470:L470" si="37">AVERAGE(I465:I469)</f>
        <v>#DIV/0!</v>
      </c>
      <c r="J470" s="34" t="e">
        <f t="shared" si="37"/>
        <v>#DIV/0!</v>
      </c>
      <c r="K470" s="34">
        <f t="shared" si="37"/>
        <v>7.5343999999999994E-2</v>
      </c>
      <c r="L470" s="34">
        <f t="shared" si="37"/>
        <v>0.11795</v>
      </c>
      <c r="M470" s="1"/>
      <c r="N470" s="1"/>
      <c r="O470" s="1"/>
      <c r="P470" s="1"/>
      <c r="Q470" s="1"/>
      <c r="R470" s="1"/>
      <c r="S470" s="1"/>
      <c r="T470" s="1"/>
    </row>
    <row r="471" spans="1:20" x14ac:dyDescent="0.2">
      <c r="A471" s="1"/>
      <c r="B471" s="104">
        <v>1.2</v>
      </c>
      <c r="C471" s="105"/>
      <c r="D471" s="28">
        <v>13</v>
      </c>
      <c r="E471" s="25">
        <v>75.319999999999993</v>
      </c>
      <c r="F471" s="25">
        <v>74.78</v>
      </c>
      <c r="G471" s="25">
        <v>1202</v>
      </c>
      <c r="H471" s="31">
        <v>0.49299999999999999</v>
      </c>
      <c r="I471" s="36"/>
      <c r="J471" s="36"/>
      <c r="K471" s="36">
        <v>6.3769999999999993E-2</v>
      </c>
      <c r="L471" s="36">
        <v>5.3249999999999999E-2</v>
      </c>
      <c r="M471" s="1"/>
      <c r="N471" s="1"/>
      <c r="O471" s="1"/>
      <c r="P471" s="1"/>
      <c r="Q471" s="1"/>
      <c r="R471" s="1"/>
      <c r="S471" s="1"/>
      <c r="T471" s="1"/>
    </row>
    <row r="472" spans="1:20" x14ac:dyDescent="0.2">
      <c r="A472" s="1"/>
      <c r="B472" s="105"/>
      <c r="C472" s="105"/>
      <c r="D472" s="29">
        <v>21</v>
      </c>
      <c r="E472" s="4">
        <v>75.27</v>
      </c>
      <c r="F472" s="4">
        <v>74.44</v>
      </c>
      <c r="G472" s="1">
        <v>1259</v>
      </c>
      <c r="H472" s="8">
        <v>0.48199999999999998</v>
      </c>
      <c r="I472" s="33"/>
      <c r="J472" s="33"/>
      <c r="K472" s="33">
        <v>7.6920000000000002E-2</v>
      </c>
      <c r="L472" s="33">
        <v>8.4809999999999997E-2</v>
      </c>
      <c r="M472" s="1"/>
      <c r="N472" s="1"/>
      <c r="O472" s="1"/>
      <c r="P472" s="1"/>
      <c r="Q472" s="1"/>
      <c r="R472" s="1"/>
      <c r="S472" s="1"/>
      <c r="T472" s="1"/>
    </row>
    <row r="473" spans="1:20" x14ac:dyDescent="0.2">
      <c r="A473" s="1"/>
      <c r="B473" s="105"/>
      <c r="C473" s="105"/>
      <c r="D473" s="29">
        <v>47</v>
      </c>
      <c r="E473" s="4">
        <v>74.819999999999993</v>
      </c>
      <c r="F473" s="4">
        <v>74.08</v>
      </c>
      <c r="G473" s="1">
        <v>1263</v>
      </c>
      <c r="H473" s="8">
        <v>0.48499999999999999</v>
      </c>
      <c r="I473" s="33"/>
      <c r="J473" s="33"/>
      <c r="K473" s="33">
        <v>8.2839999999999997E-2</v>
      </c>
      <c r="L473" s="33">
        <v>9.4670000000000004E-2</v>
      </c>
      <c r="M473" s="1"/>
      <c r="N473" s="1"/>
      <c r="O473" s="1"/>
      <c r="P473" s="1"/>
      <c r="Q473" s="1"/>
      <c r="R473" s="1"/>
      <c r="S473" s="1"/>
      <c r="T473" s="1"/>
    </row>
    <row r="474" spans="1:20" x14ac:dyDescent="0.2">
      <c r="A474" s="1"/>
      <c r="B474" s="105"/>
      <c r="C474" s="105"/>
      <c r="D474" s="29">
        <v>50</v>
      </c>
      <c r="E474" s="4">
        <v>74.430000000000007</v>
      </c>
      <c r="F474" s="4">
        <v>76.02</v>
      </c>
      <c r="G474" s="1">
        <v>807</v>
      </c>
      <c r="H474" s="33">
        <v>0.57999999999999996</v>
      </c>
      <c r="I474" s="33"/>
      <c r="J474" s="33"/>
      <c r="K474" s="33">
        <v>9.4670000000000004E-2</v>
      </c>
      <c r="L474" s="33">
        <v>0.13938</v>
      </c>
      <c r="M474" s="1"/>
      <c r="N474" s="1"/>
      <c r="O474" s="1"/>
      <c r="P474" s="1"/>
      <c r="Q474" s="1"/>
      <c r="R474" s="1"/>
      <c r="S474" s="1"/>
      <c r="T474" s="1"/>
    </row>
    <row r="475" spans="1:20" x14ac:dyDescent="0.2">
      <c r="A475" s="1"/>
      <c r="B475" s="105"/>
      <c r="C475" s="105"/>
      <c r="D475" s="30">
        <v>91</v>
      </c>
      <c r="E475" s="27">
        <v>74.75</v>
      </c>
      <c r="F475" s="27">
        <v>75.790000000000006</v>
      </c>
      <c r="G475" s="26">
        <v>908</v>
      </c>
      <c r="H475" s="32">
        <v>0.55700000000000005</v>
      </c>
      <c r="I475" s="52"/>
      <c r="J475" s="52"/>
      <c r="K475" s="52">
        <v>8.4159999999999999E-2</v>
      </c>
      <c r="L475" s="52">
        <v>0.17949000000000001</v>
      </c>
      <c r="M475" s="1"/>
      <c r="N475" s="1"/>
      <c r="O475" s="1"/>
      <c r="P475" s="1"/>
      <c r="Q475" s="1"/>
      <c r="R475" s="1"/>
      <c r="S475" s="1"/>
      <c r="T475" s="1"/>
    </row>
    <row r="476" spans="1:20" x14ac:dyDescent="0.2">
      <c r="A476" s="1"/>
      <c r="B476" s="106"/>
      <c r="C476" s="105"/>
      <c r="D476" s="6" t="s">
        <v>8</v>
      </c>
      <c r="E476" s="7">
        <f>AVERAGE(E471:E475)</f>
        <v>74.917999999999992</v>
      </c>
      <c r="F476" s="7">
        <f>AVERAGE(F471:F475)</f>
        <v>75.022000000000006</v>
      </c>
      <c r="G476" s="35">
        <f t="shared" ref="G476:H476" si="38">AVERAGE(G471:G475)</f>
        <v>1087.8</v>
      </c>
      <c r="H476" s="34">
        <f t="shared" si="38"/>
        <v>0.51939999999999997</v>
      </c>
      <c r="I476" s="34" t="e">
        <f t="shared" ref="I476:L476" si="39">AVERAGE(I471:I475)</f>
        <v>#DIV/0!</v>
      </c>
      <c r="J476" s="34" t="e">
        <f t="shared" si="39"/>
        <v>#DIV/0!</v>
      </c>
      <c r="K476" s="34">
        <f t="shared" si="39"/>
        <v>8.0472000000000002E-2</v>
      </c>
      <c r="L476" s="34">
        <f t="shared" si="39"/>
        <v>0.11032</v>
      </c>
      <c r="M476" s="1"/>
      <c r="N476" s="1"/>
      <c r="O476" s="1"/>
      <c r="P476" s="1"/>
      <c r="Q476" s="1"/>
      <c r="R476" s="1"/>
      <c r="S476" s="1"/>
      <c r="T476" s="1"/>
    </row>
    <row r="477" spans="1:20" x14ac:dyDescent="0.2">
      <c r="A477" s="1"/>
      <c r="B477" s="104">
        <v>1.4</v>
      </c>
      <c r="C477" s="105"/>
      <c r="D477" s="28">
        <v>13</v>
      </c>
      <c r="E477" s="25">
        <v>72.239999999999995</v>
      </c>
      <c r="F477" s="25">
        <v>75.959999999999994</v>
      </c>
      <c r="G477" s="25">
        <v>476</v>
      </c>
      <c r="H477" s="31">
        <v>0.66900000000000004</v>
      </c>
      <c r="I477" s="36"/>
      <c r="J477" s="36"/>
      <c r="K477" s="36">
        <v>4.0759999999999998E-2</v>
      </c>
      <c r="L477" s="36">
        <v>0.15779000000000001</v>
      </c>
      <c r="M477" s="1"/>
      <c r="N477" s="1"/>
      <c r="O477" s="1"/>
      <c r="P477" s="1"/>
      <c r="Q477" s="1"/>
      <c r="R477" s="1"/>
      <c r="S477" s="1"/>
      <c r="T477" s="1"/>
    </row>
    <row r="478" spans="1:20" x14ac:dyDescent="0.2">
      <c r="A478" s="1"/>
      <c r="B478" s="105"/>
      <c r="C478" s="105"/>
      <c r="D478" s="29">
        <v>21</v>
      </c>
      <c r="E478" s="4">
        <v>71.61</v>
      </c>
      <c r="F478" s="4">
        <v>75.87</v>
      </c>
      <c r="G478" s="1">
        <v>398</v>
      </c>
      <c r="H478" s="8">
        <v>0.69</v>
      </c>
      <c r="I478" s="33"/>
      <c r="J478" s="33"/>
      <c r="K478" s="33">
        <v>5.457E-2</v>
      </c>
      <c r="L478" s="33">
        <v>4.011E-2</v>
      </c>
      <c r="M478" s="1"/>
      <c r="N478" s="1"/>
      <c r="O478" s="1"/>
      <c r="P478" s="1"/>
      <c r="Q478" s="1"/>
      <c r="R478" s="1"/>
      <c r="S478" s="1"/>
      <c r="T478" s="1"/>
    </row>
    <row r="479" spans="1:20" x14ac:dyDescent="0.2">
      <c r="A479" s="1"/>
      <c r="B479" s="105"/>
      <c r="C479" s="105"/>
      <c r="D479" s="29">
        <v>47</v>
      </c>
      <c r="E479" s="4">
        <v>70.819999999999993</v>
      </c>
      <c r="F479" s="4">
        <v>75.569999999999993</v>
      </c>
      <c r="G479" s="1">
        <v>348</v>
      </c>
      <c r="H479" s="8">
        <v>0.70799999999999996</v>
      </c>
      <c r="I479" s="33"/>
      <c r="J479" s="33"/>
      <c r="K479" s="33">
        <v>8.3500000000000005E-2</v>
      </c>
      <c r="L479" s="33">
        <v>4.734E-2</v>
      </c>
      <c r="M479" s="1"/>
      <c r="N479" s="1"/>
      <c r="O479" s="1"/>
      <c r="P479" s="1"/>
      <c r="Q479" s="1"/>
      <c r="R479" s="1"/>
      <c r="S479" s="1"/>
      <c r="T479" s="1"/>
    </row>
    <row r="480" spans="1:20" x14ac:dyDescent="0.2">
      <c r="A480" s="1"/>
      <c r="B480" s="105"/>
      <c r="C480" s="105"/>
      <c r="D480" s="29">
        <v>50</v>
      </c>
      <c r="E480" s="4">
        <v>69.66</v>
      </c>
      <c r="F480" s="4">
        <v>75.099999999999994</v>
      </c>
      <c r="G480" s="1">
        <v>286</v>
      </c>
      <c r="H480" s="8">
        <v>0.73199999999999998</v>
      </c>
      <c r="I480" s="33"/>
      <c r="J480" s="33"/>
      <c r="K480" s="33">
        <v>7.0349999999999996E-2</v>
      </c>
      <c r="L480" s="33">
        <v>1.315E-2</v>
      </c>
      <c r="M480" s="1"/>
      <c r="N480" s="1"/>
      <c r="O480" s="1"/>
      <c r="P480" s="1"/>
      <c r="Q480" s="1"/>
      <c r="R480" s="1"/>
      <c r="S480" s="1"/>
      <c r="T480" s="1"/>
    </row>
    <row r="481" spans="1:20" x14ac:dyDescent="0.2">
      <c r="A481" s="1"/>
      <c r="B481" s="105"/>
      <c r="C481" s="105"/>
      <c r="D481" s="30">
        <v>91</v>
      </c>
      <c r="E481" s="27">
        <v>71.349999999999994</v>
      </c>
      <c r="F481" s="27">
        <v>75.739999999999995</v>
      </c>
      <c r="G481" s="26">
        <v>389</v>
      </c>
      <c r="H481" s="32">
        <v>0.69499999999999995</v>
      </c>
      <c r="I481" s="52"/>
      <c r="J481" s="52"/>
      <c r="K481" s="52">
        <v>4.9970000000000001E-2</v>
      </c>
      <c r="L481" s="52">
        <v>0.15187</v>
      </c>
      <c r="M481" s="1"/>
      <c r="N481" s="1"/>
      <c r="O481" s="1"/>
      <c r="P481" s="1"/>
      <c r="Q481" s="1"/>
      <c r="R481" s="1"/>
      <c r="S481" s="1"/>
      <c r="T481" s="1"/>
    </row>
    <row r="482" spans="1:20" x14ac:dyDescent="0.2">
      <c r="A482" s="1"/>
      <c r="B482" s="106"/>
      <c r="C482" s="106"/>
      <c r="D482" s="6" t="s">
        <v>8</v>
      </c>
      <c r="E482" s="7">
        <f>AVERAGE(E477:E481)</f>
        <v>71.135999999999996</v>
      </c>
      <c r="F482" s="7">
        <f>AVERAGE(F477:F481)</f>
        <v>75.647999999999996</v>
      </c>
      <c r="G482" s="35">
        <f t="shared" ref="G482:H482" si="40">AVERAGE(G477:G481)</f>
        <v>379.4</v>
      </c>
      <c r="H482" s="34">
        <f t="shared" si="40"/>
        <v>0.69880000000000009</v>
      </c>
      <c r="I482" s="34" t="e">
        <f t="shared" ref="I482:L482" si="41">AVERAGE(I477:I481)</f>
        <v>#DIV/0!</v>
      </c>
      <c r="J482" s="34" t="e">
        <f t="shared" si="41"/>
        <v>#DIV/0!</v>
      </c>
      <c r="K482" s="34">
        <f t="shared" si="41"/>
        <v>5.9829999999999994E-2</v>
      </c>
      <c r="L482" s="34">
        <f t="shared" si="41"/>
        <v>8.2052E-2</v>
      </c>
      <c r="M482" s="1"/>
      <c r="N482" s="1"/>
      <c r="O482" s="1"/>
      <c r="P482" s="1"/>
      <c r="Q482" s="1"/>
      <c r="R482" s="1"/>
      <c r="S482" s="1"/>
      <c r="T482" s="1"/>
    </row>
    <row r="483" spans="1:20" x14ac:dyDescent="0.2">
      <c r="A483" s="1"/>
      <c r="B483" s="1"/>
      <c r="C483" s="1"/>
      <c r="D483" s="61"/>
      <c r="E483" s="62"/>
      <c r="F483" s="62"/>
      <c r="G483" s="63"/>
      <c r="H483" s="6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">
      <c r="A484" s="1"/>
      <c r="B484" s="1"/>
      <c r="C484" s="1"/>
      <c r="D484" s="61"/>
      <c r="E484" s="62"/>
      <c r="F484" s="62"/>
      <c r="G484" s="63"/>
      <c r="H484" s="6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">
      <c r="A485" s="1"/>
      <c r="B485" s="1"/>
      <c r="C485" s="1"/>
      <c r="D485" s="61"/>
      <c r="E485" s="62"/>
      <c r="F485" s="62"/>
      <c r="G485" s="63"/>
      <c r="H485" s="6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">
      <c r="A486" s="1"/>
      <c r="B486" s="1"/>
      <c r="C486" s="1"/>
      <c r="D486" s="61"/>
      <c r="E486" s="62"/>
      <c r="F486" s="62"/>
      <c r="G486" s="63"/>
      <c r="H486" s="64"/>
      <c r="I486" s="1"/>
      <c r="J486" s="1"/>
      <c r="K486" s="1" t="s">
        <v>64</v>
      </c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">
      <c r="A487" s="1"/>
      <c r="B487" s="100" t="s">
        <v>23</v>
      </c>
      <c r="C487" s="107" t="s">
        <v>15</v>
      </c>
      <c r="D487" s="108"/>
      <c r="E487" s="108"/>
      <c r="F487" s="108"/>
      <c r="G487" s="108"/>
      <c r="H487" s="108"/>
      <c r="I487" s="107" t="s">
        <v>39</v>
      </c>
      <c r="J487" s="111"/>
      <c r="K487" s="107" t="s">
        <v>42</v>
      </c>
      <c r="L487" s="111"/>
      <c r="M487" s="1"/>
      <c r="N487" s="1"/>
      <c r="O487" s="1"/>
      <c r="P487" s="1"/>
      <c r="Q487" s="1"/>
      <c r="R487" s="1"/>
      <c r="S487" s="1"/>
      <c r="T487" s="1"/>
    </row>
    <row r="488" spans="1:20" x14ac:dyDescent="0.2">
      <c r="A488" s="1"/>
      <c r="B488" s="101"/>
      <c r="C488" s="19" t="s">
        <v>3</v>
      </c>
      <c r="D488" s="1" t="s">
        <v>4</v>
      </c>
      <c r="E488" s="1" t="s">
        <v>6</v>
      </c>
      <c r="F488" s="2" t="s">
        <v>7</v>
      </c>
      <c r="G488" s="1" t="s">
        <v>24</v>
      </c>
      <c r="H488" s="8" t="s">
        <v>25</v>
      </c>
      <c r="I488" s="8" t="s">
        <v>43</v>
      </c>
      <c r="J488" s="8" t="s">
        <v>44</v>
      </c>
      <c r="K488" s="8" t="s">
        <v>43</v>
      </c>
      <c r="L488" s="8" t="s">
        <v>44</v>
      </c>
      <c r="M488" s="1"/>
      <c r="N488" s="1"/>
      <c r="O488" s="1"/>
      <c r="P488" s="1"/>
      <c r="Q488" s="1"/>
      <c r="R488" s="1"/>
      <c r="S488" s="1"/>
      <c r="T488" s="1"/>
    </row>
    <row r="489" spans="1:20" x14ac:dyDescent="0.2">
      <c r="A489" s="1"/>
      <c r="B489" s="102">
        <v>1</v>
      </c>
      <c r="C489" s="104">
        <v>8</v>
      </c>
      <c r="D489" s="28">
        <v>13</v>
      </c>
      <c r="E489" s="25">
        <v>73.06</v>
      </c>
      <c r="F489" s="1">
        <v>71.528999999999996</v>
      </c>
      <c r="G489" s="25">
        <v>1293</v>
      </c>
      <c r="H489" s="36">
        <v>0.44612000000000002</v>
      </c>
      <c r="I489" s="36">
        <v>0.18475</v>
      </c>
      <c r="J489" s="36">
        <v>0.15712999999999999</v>
      </c>
      <c r="K489" s="36">
        <v>0.18803</v>
      </c>
      <c r="L489" s="36">
        <v>0.16042000000000001</v>
      </c>
      <c r="M489" s="1"/>
      <c r="N489" s="75"/>
      <c r="O489" s="75"/>
      <c r="P489" s="1"/>
      <c r="Q489" s="1"/>
      <c r="R489" s="1"/>
      <c r="S489" s="1"/>
      <c r="T489" s="1"/>
    </row>
    <row r="490" spans="1:20" x14ac:dyDescent="0.2">
      <c r="A490" s="1"/>
      <c r="B490" s="103"/>
      <c r="C490" s="105"/>
      <c r="D490" s="29">
        <v>21</v>
      </c>
      <c r="E490" s="4">
        <v>70.47</v>
      </c>
      <c r="F490" s="4">
        <v>68.682000000000002</v>
      </c>
      <c r="G490" s="1">
        <v>1410</v>
      </c>
      <c r="H490" s="33">
        <v>0.44274999999999998</v>
      </c>
      <c r="I490" s="33">
        <v>0.14660999999999999</v>
      </c>
      <c r="J490" s="33">
        <v>0.19855</v>
      </c>
      <c r="K490" s="33">
        <v>0.14660999999999999</v>
      </c>
      <c r="L490" s="33">
        <v>0.19724</v>
      </c>
      <c r="M490" s="1"/>
      <c r="N490" s="1"/>
      <c r="O490" s="1"/>
      <c r="P490" s="1"/>
      <c r="Q490" s="1"/>
      <c r="R490" s="1"/>
      <c r="S490" s="1"/>
      <c r="T490" s="1"/>
    </row>
    <row r="491" spans="1:20" x14ac:dyDescent="0.2">
      <c r="A491" s="1"/>
      <c r="B491" s="103"/>
      <c r="C491" s="105"/>
      <c r="D491" s="29">
        <v>47</v>
      </c>
      <c r="E491" s="4">
        <v>72.260000000000005</v>
      </c>
      <c r="F491" s="4">
        <v>70.613</v>
      </c>
      <c r="G491" s="1">
        <v>1334</v>
      </c>
      <c r="H491" s="33">
        <v>0.44388</v>
      </c>
      <c r="I491" s="33">
        <v>0.11506</v>
      </c>
      <c r="J491" s="33">
        <v>0.14793000000000001</v>
      </c>
      <c r="K491" s="33">
        <v>0.11570999999999999</v>
      </c>
      <c r="L491" s="33">
        <v>0.14793000000000001</v>
      </c>
      <c r="M491" s="1"/>
      <c r="N491" s="1"/>
      <c r="O491" s="1"/>
      <c r="P491" s="1"/>
      <c r="Q491" s="1"/>
      <c r="R491" s="1"/>
      <c r="S491" s="1"/>
      <c r="T491" s="1"/>
    </row>
    <row r="492" spans="1:20" x14ac:dyDescent="0.2">
      <c r="A492" s="1"/>
      <c r="B492" s="103"/>
      <c r="C492" s="105"/>
      <c r="D492" s="29">
        <v>50</v>
      </c>
      <c r="E492" s="4">
        <v>72.58</v>
      </c>
      <c r="F492" s="4">
        <v>72.001000000000005</v>
      </c>
      <c r="G492" s="1">
        <v>1179</v>
      </c>
      <c r="H492" s="33">
        <v>0.47949999999999998</v>
      </c>
      <c r="I492" s="33">
        <v>6.3119999999999996E-2</v>
      </c>
      <c r="J492" s="33">
        <v>0.19395000000000001</v>
      </c>
      <c r="K492" s="33">
        <v>6.4430000000000001E-2</v>
      </c>
      <c r="L492" s="33">
        <v>0.19527</v>
      </c>
      <c r="M492" s="1"/>
      <c r="N492" s="1"/>
      <c r="O492" s="1"/>
      <c r="P492" s="1"/>
      <c r="Q492" s="1"/>
      <c r="R492" s="1"/>
      <c r="S492" s="1"/>
      <c r="T492" s="1"/>
    </row>
    <row r="493" spans="1:20" x14ac:dyDescent="0.2">
      <c r="A493" s="1"/>
      <c r="B493" s="103"/>
      <c r="C493" s="105"/>
      <c r="D493" s="30">
        <v>91</v>
      </c>
      <c r="E493" s="27">
        <v>72.959999999999994</v>
      </c>
      <c r="F493" s="27">
        <v>71.543000000000006</v>
      </c>
      <c r="G493" s="26">
        <v>1281</v>
      </c>
      <c r="H493" s="52">
        <v>0.45012000000000002</v>
      </c>
      <c r="I493" s="52">
        <v>8.7440000000000004E-2</v>
      </c>
      <c r="J493" s="52">
        <v>0.23669000000000001</v>
      </c>
      <c r="K493" s="52">
        <v>8.7440000000000004E-2</v>
      </c>
      <c r="L493" s="52">
        <v>0.23669000000000001</v>
      </c>
      <c r="M493" s="1"/>
      <c r="N493" s="1"/>
      <c r="O493" s="1"/>
      <c r="P493" s="1"/>
      <c r="Q493" s="1"/>
      <c r="R493" s="1"/>
      <c r="S493" s="1"/>
      <c r="T493" s="1"/>
    </row>
    <row r="494" spans="1:20" x14ac:dyDescent="0.2">
      <c r="A494" s="1"/>
      <c r="B494" s="101"/>
      <c r="C494" s="105"/>
      <c r="D494" s="6" t="s">
        <v>8</v>
      </c>
      <c r="E494" s="7">
        <f>AVERAGE(E489:E493)</f>
        <v>72.265999999999991</v>
      </c>
      <c r="F494" s="7">
        <f>AVERAGE(F489:F493)</f>
        <v>70.87360000000001</v>
      </c>
      <c r="G494" s="35">
        <f>AVERAGE(G489:G493)</f>
        <v>1299.4000000000001</v>
      </c>
      <c r="H494" s="34">
        <f>AVERAGE(H489:H493)</f>
        <v>0.45247400000000004</v>
      </c>
      <c r="I494" s="34">
        <f t="shared" ref="I494:K494" si="42">AVERAGE(I489:I493)</f>
        <v>0.11939599999999999</v>
      </c>
      <c r="J494" s="34">
        <f t="shared" si="42"/>
        <v>0.18685000000000002</v>
      </c>
      <c r="K494" s="34">
        <f t="shared" si="42"/>
        <v>0.120444</v>
      </c>
      <c r="L494" s="34">
        <f>AVERAGE(L489:L493)</f>
        <v>0.18751000000000001</v>
      </c>
      <c r="M494" s="1"/>
      <c r="N494" s="64"/>
      <c r="O494" s="64"/>
      <c r="P494" s="1"/>
      <c r="Q494" s="1"/>
      <c r="R494" s="1"/>
      <c r="S494" s="1"/>
      <c r="T494" s="1"/>
    </row>
    <row r="495" spans="1:20" x14ac:dyDescent="0.2">
      <c r="A495" s="1"/>
      <c r="B495" s="104">
        <v>1.2</v>
      </c>
      <c r="C495" s="105"/>
      <c r="D495" s="28">
        <v>13</v>
      </c>
      <c r="E495" s="25">
        <v>71.86</v>
      </c>
      <c r="F495" s="25">
        <v>73.465000000000003</v>
      </c>
      <c r="G495" s="25">
        <v>884</v>
      </c>
      <c r="H495" s="36">
        <v>0.56037000000000003</v>
      </c>
      <c r="I495" s="36"/>
      <c r="J495" s="36"/>
      <c r="K495" s="36">
        <v>0.16108</v>
      </c>
      <c r="L495" s="36">
        <v>9.5990000000000006E-2</v>
      </c>
      <c r="M495" s="1">
        <v>0.16108</v>
      </c>
      <c r="N495" s="1">
        <v>9.5990000000000006E-2</v>
      </c>
      <c r="O495" s="1">
        <v>0.15779000000000001</v>
      </c>
      <c r="P495" s="1">
        <v>9.0069999999999997E-2</v>
      </c>
      <c r="Q495" s="1"/>
      <c r="R495" s="1"/>
      <c r="S495" s="1"/>
      <c r="T495" s="1"/>
    </row>
    <row r="496" spans="1:20" x14ac:dyDescent="0.2">
      <c r="A496" s="1"/>
      <c r="B496" s="105"/>
      <c r="C496" s="105"/>
      <c r="D496" s="29">
        <v>21</v>
      </c>
      <c r="E496" s="4">
        <v>69.650000000000006</v>
      </c>
      <c r="F496" s="4">
        <v>70.433999999999997</v>
      </c>
      <c r="G496" s="1">
        <v>1108</v>
      </c>
      <c r="H496" s="33">
        <v>0.52649999999999997</v>
      </c>
      <c r="I496" s="33"/>
      <c r="J496" s="33"/>
      <c r="K496" s="33">
        <v>0.19592000000000001</v>
      </c>
      <c r="L496" s="33">
        <v>0.1716</v>
      </c>
      <c r="M496" s="1">
        <v>0.19592000000000001</v>
      </c>
      <c r="N496" s="1">
        <v>0.1716</v>
      </c>
      <c r="O496" s="1">
        <v>0.19264000000000001</v>
      </c>
      <c r="P496" s="1">
        <v>0.17357</v>
      </c>
      <c r="Q496" s="1"/>
      <c r="R496" s="1"/>
      <c r="S496" s="1"/>
      <c r="T496" s="1"/>
    </row>
    <row r="497" spans="1:20" x14ac:dyDescent="0.2">
      <c r="A497" s="1"/>
      <c r="B497" s="105"/>
      <c r="C497" s="105"/>
      <c r="D497" s="29">
        <v>47</v>
      </c>
      <c r="E497" s="4">
        <v>70.94</v>
      </c>
      <c r="F497" s="4">
        <v>71.957999999999998</v>
      </c>
      <c r="G497" s="1">
        <v>1017</v>
      </c>
      <c r="H497" s="33">
        <v>0.53637999999999997</v>
      </c>
      <c r="I497" s="33"/>
      <c r="J497" s="33"/>
      <c r="K497" s="33">
        <v>0.10453999999999999</v>
      </c>
      <c r="L497" s="33">
        <v>0.1236</v>
      </c>
      <c r="M497" s="1">
        <v>0.10453999999999999</v>
      </c>
      <c r="N497" s="1">
        <v>0.1236</v>
      </c>
      <c r="O497" s="1">
        <v>0.10059</v>
      </c>
      <c r="P497" s="1">
        <v>0.11637</v>
      </c>
      <c r="Q497" s="1"/>
      <c r="R497" s="1"/>
      <c r="S497" s="1"/>
      <c r="T497" s="1"/>
    </row>
    <row r="498" spans="1:20" x14ac:dyDescent="0.2">
      <c r="A498" s="1"/>
      <c r="B498" s="105"/>
      <c r="C498" s="105"/>
      <c r="D498" s="29">
        <v>50</v>
      </c>
      <c r="E498" s="4">
        <v>72.12</v>
      </c>
      <c r="F498" s="4">
        <v>72.25</v>
      </c>
      <c r="G498" s="1">
        <v>1097</v>
      </c>
      <c r="H498" s="33">
        <v>0.50449999999999995</v>
      </c>
      <c r="I498" s="33"/>
      <c r="J498" s="33"/>
      <c r="K498" s="33">
        <v>7.0349999999999996E-2</v>
      </c>
      <c r="L498" s="33">
        <v>0.22287999999999999</v>
      </c>
      <c r="M498" s="1">
        <v>7.0349999999999996E-2</v>
      </c>
      <c r="N498" s="1">
        <v>0.22287999999999999</v>
      </c>
      <c r="O498" s="1">
        <v>7.0349999999999996E-2</v>
      </c>
      <c r="P498" s="1">
        <v>0.22550999999999999</v>
      </c>
      <c r="Q498" s="1"/>
      <c r="R498" s="1"/>
      <c r="S498" s="1"/>
      <c r="T498" s="1"/>
    </row>
    <row r="499" spans="1:20" x14ac:dyDescent="0.2">
      <c r="A499" s="1"/>
      <c r="B499" s="105"/>
      <c r="C499" s="105"/>
      <c r="D499" s="30">
        <v>91</v>
      </c>
      <c r="E499" s="27">
        <v>72.709999999999994</v>
      </c>
      <c r="F499" s="27">
        <v>72.418999999999997</v>
      </c>
      <c r="G499" s="26">
        <v>1134</v>
      </c>
      <c r="H499" s="52">
        <v>0.48937999999999998</v>
      </c>
      <c r="I499" s="52"/>
      <c r="J499" s="52"/>
      <c r="K499" s="52">
        <v>7.4289999999999995E-2</v>
      </c>
      <c r="L499" s="52">
        <v>0.20776</v>
      </c>
      <c r="M499" s="1">
        <v>7.4289999999999995E-2</v>
      </c>
      <c r="N499" s="1">
        <v>0.20776</v>
      </c>
      <c r="O499" s="1">
        <v>7.6270000000000004E-2</v>
      </c>
      <c r="P499" s="1">
        <v>0.20644000000000001</v>
      </c>
      <c r="Q499" s="1"/>
      <c r="R499" s="1"/>
      <c r="S499" s="1"/>
      <c r="T499" s="1"/>
    </row>
    <row r="500" spans="1:20" x14ac:dyDescent="0.2">
      <c r="A500" s="1"/>
      <c r="B500" s="106"/>
      <c r="C500" s="105"/>
      <c r="D500" s="6" t="s">
        <v>8</v>
      </c>
      <c r="E500" s="7">
        <f>AVERAGE(E495:E499)</f>
        <v>71.455999999999989</v>
      </c>
      <c r="F500" s="7">
        <f>AVERAGE(F495:F499)</f>
        <v>72.105199999999996</v>
      </c>
      <c r="G500" s="35">
        <f>AVERAGE(G495:G499)</f>
        <v>1048</v>
      </c>
      <c r="H500" s="34">
        <f>AVERAGE(H495:H499)</f>
        <v>0.52342599999999995</v>
      </c>
      <c r="I500" s="34" t="e">
        <f t="shared" ref="I500:L500" si="43">AVERAGE(I495:I499)</f>
        <v>#DIV/0!</v>
      </c>
      <c r="J500" s="34" t="e">
        <f t="shared" si="43"/>
        <v>#DIV/0!</v>
      </c>
      <c r="K500" s="34">
        <f t="shared" si="43"/>
        <v>0.12123599999999998</v>
      </c>
      <c r="L500" s="34">
        <f t="shared" si="43"/>
        <v>0.16436600000000001</v>
      </c>
      <c r="M500" s="1">
        <f>AVERAGE(M495:M499)</f>
        <v>0.12123599999999998</v>
      </c>
      <c r="N500" s="1">
        <f>AVERAGE(N495:N499)</f>
        <v>0.16436600000000001</v>
      </c>
      <c r="O500" s="1"/>
      <c r="P500" s="1"/>
      <c r="Q500" s="1"/>
      <c r="R500" s="1"/>
      <c r="S500" s="1"/>
      <c r="T500" s="1"/>
    </row>
    <row r="501" spans="1:20" x14ac:dyDescent="0.2">
      <c r="A501" s="1"/>
      <c r="B501" s="104">
        <v>1.4</v>
      </c>
      <c r="C501" s="105"/>
      <c r="D501" s="28">
        <v>13</v>
      </c>
      <c r="E501" s="51">
        <v>63.8125</v>
      </c>
      <c r="F501" s="25">
        <v>71.39</v>
      </c>
      <c r="G501" s="25">
        <v>388</v>
      </c>
      <c r="H501" s="36">
        <v>0.76487000000000005</v>
      </c>
      <c r="I501" s="36"/>
      <c r="J501" s="36"/>
      <c r="K501" s="36">
        <v>8.7440000000000004E-2</v>
      </c>
      <c r="L501" s="36">
        <v>2.7609999999999999E-2</v>
      </c>
      <c r="M501" s="1"/>
      <c r="N501" s="1"/>
      <c r="O501" s="1"/>
      <c r="P501" s="1"/>
      <c r="Q501" s="1"/>
      <c r="R501" s="1"/>
      <c r="S501" s="1"/>
      <c r="T501" s="1"/>
    </row>
    <row r="502" spans="1:20" x14ac:dyDescent="0.2">
      <c r="A502" s="1"/>
      <c r="B502" s="105"/>
      <c r="C502" s="105"/>
      <c r="D502" s="29">
        <v>21</v>
      </c>
      <c r="E502" s="4">
        <v>63.6</v>
      </c>
      <c r="F502" s="4">
        <v>70.102999999999994</v>
      </c>
      <c r="G502" s="1">
        <v>586</v>
      </c>
      <c r="H502" s="33">
        <v>0.71750000000000003</v>
      </c>
      <c r="I502" s="33"/>
      <c r="J502" s="33"/>
      <c r="K502" s="33">
        <v>0.1144</v>
      </c>
      <c r="L502" s="33">
        <v>0.23602999999999999</v>
      </c>
      <c r="M502" s="1"/>
      <c r="N502" s="1"/>
      <c r="O502" s="1"/>
      <c r="P502" s="1"/>
      <c r="Q502" s="1"/>
      <c r="R502" s="1"/>
      <c r="S502" s="1"/>
      <c r="T502" s="1"/>
    </row>
    <row r="503" spans="1:20" x14ac:dyDescent="0.2">
      <c r="A503" s="1"/>
      <c r="B503" s="105"/>
      <c r="C503" s="105"/>
      <c r="D503" s="29">
        <v>47</v>
      </c>
      <c r="E503" s="4">
        <v>64.56</v>
      </c>
      <c r="F503" s="4">
        <v>71.126999999999995</v>
      </c>
      <c r="G503" s="1">
        <v>508</v>
      </c>
      <c r="H503" s="33">
        <v>0.72736999999999996</v>
      </c>
      <c r="I503" s="33"/>
      <c r="J503" s="33"/>
      <c r="K503" s="33">
        <v>5.457E-2</v>
      </c>
      <c r="L503" s="33">
        <v>3.3529999999999997E-2</v>
      </c>
      <c r="M503" s="1"/>
      <c r="N503" s="1"/>
      <c r="O503" s="1"/>
      <c r="P503" s="1"/>
      <c r="Q503" s="1"/>
      <c r="R503" s="1"/>
      <c r="S503" s="1"/>
      <c r="T503" s="1"/>
    </row>
    <row r="504" spans="1:20" x14ac:dyDescent="0.2">
      <c r="A504" s="1"/>
      <c r="B504" s="105"/>
      <c r="C504" s="105"/>
      <c r="D504" s="29">
        <v>50</v>
      </c>
      <c r="E504" s="4">
        <v>66</v>
      </c>
      <c r="F504" s="4">
        <v>72.262</v>
      </c>
      <c r="G504" s="1">
        <v>457</v>
      </c>
      <c r="H504" s="33">
        <v>0.72575000000000001</v>
      </c>
      <c r="I504" s="33"/>
      <c r="J504" s="33"/>
      <c r="K504" s="33">
        <v>4.6679999999999999E-2</v>
      </c>
      <c r="L504" s="33">
        <v>0.16897000000000001</v>
      </c>
      <c r="M504" s="1"/>
      <c r="N504" s="1"/>
      <c r="O504" s="1"/>
      <c r="P504" s="1"/>
      <c r="Q504" s="1"/>
      <c r="R504" s="1"/>
      <c r="S504" s="1"/>
      <c r="T504" s="1"/>
    </row>
    <row r="505" spans="1:20" x14ac:dyDescent="0.2">
      <c r="A505" s="1"/>
      <c r="B505" s="105"/>
      <c r="C505" s="105"/>
      <c r="D505" s="30">
        <v>91</v>
      </c>
      <c r="E505" s="27">
        <v>67.760000000000005</v>
      </c>
      <c r="F505" s="27">
        <v>72.712000000000003</v>
      </c>
      <c r="G505" s="26">
        <v>564</v>
      </c>
      <c r="H505" s="52">
        <v>0.68137000000000003</v>
      </c>
      <c r="I505" s="52"/>
      <c r="J505" s="52"/>
      <c r="K505" s="52">
        <v>6.9029999999999994E-2</v>
      </c>
      <c r="L505" s="52">
        <v>0.10322000000000001</v>
      </c>
      <c r="M505" s="1"/>
      <c r="N505" s="1"/>
      <c r="O505" s="1"/>
      <c r="P505" s="1"/>
      <c r="Q505" s="1"/>
      <c r="R505" s="1"/>
      <c r="S505" s="1"/>
      <c r="T505" s="1"/>
    </row>
    <row r="506" spans="1:20" x14ac:dyDescent="0.2">
      <c r="A506" s="1"/>
      <c r="B506" s="106"/>
      <c r="C506" s="106"/>
      <c r="D506" s="6" t="s">
        <v>8</v>
      </c>
      <c r="E506" s="7">
        <f>AVERAGE(E501:E505)</f>
        <v>65.146499999999989</v>
      </c>
      <c r="F506" s="7">
        <f>AVERAGE(F501:F505)</f>
        <v>71.518799999999999</v>
      </c>
      <c r="G506" s="35">
        <f>AVERAGE(G501:G505)</f>
        <v>500.6</v>
      </c>
      <c r="H506" s="34">
        <f>AVERAGE(H501:H505)</f>
        <v>0.72337200000000001</v>
      </c>
      <c r="I506" s="34" t="e">
        <f t="shared" ref="I506:L506" si="44">AVERAGE(I501:I505)</f>
        <v>#DIV/0!</v>
      </c>
      <c r="J506" s="34" t="e">
        <f t="shared" si="44"/>
        <v>#DIV/0!</v>
      </c>
      <c r="K506" s="34">
        <f t="shared" si="44"/>
        <v>7.4424000000000004E-2</v>
      </c>
      <c r="L506" s="34">
        <f t="shared" si="44"/>
        <v>0.113872</v>
      </c>
      <c r="M506" s="1"/>
      <c r="N506" s="1"/>
      <c r="O506" s="1"/>
      <c r="P506" s="1"/>
      <c r="Q506" s="1"/>
      <c r="R506" s="1"/>
      <c r="S506" s="1"/>
      <c r="T506" s="1"/>
    </row>
    <row r="507" spans="1:20" x14ac:dyDescent="0.2">
      <c r="A507" s="1"/>
      <c r="B507" s="102">
        <v>1</v>
      </c>
      <c r="C507" s="104">
        <v>16</v>
      </c>
      <c r="D507" s="28">
        <v>13</v>
      </c>
      <c r="E507" s="51">
        <v>72.239999999999995</v>
      </c>
      <c r="F507" s="1">
        <v>71.731999999999999</v>
      </c>
      <c r="G507" s="25">
        <v>1182</v>
      </c>
      <c r="H507" s="36">
        <v>0.48213</v>
      </c>
      <c r="I507" s="36"/>
      <c r="J507" s="36"/>
      <c r="K507" s="36">
        <v>5.2600000000000001E-2</v>
      </c>
      <c r="L507" s="36">
        <v>0.17488000000000001</v>
      </c>
      <c r="M507" s="1"/>
      <c r="N507" s="1"/>
      <c r="O507" s="1"/>
      <c r="P507" s="1"/>
      <c r="Q507" s="1"/>
      <c r="R507" s="1"/>
      <c r="S507" s="1"/>
      <c r="T507" s="1"/>
    </row>
    <row r="508" spans="1:20" x14ac:dyDescent="0.2">
      <c r="A508" s="1"/>
      <c r="B508" s="103"/>
      <c r="C508" s="105"/>
      <c r="D508" s="29">
        <v>21</v>
      </c>
      <c r="E508" s="4">
        <v>71.7</v>
      </c>
      <c r="F508" s="4">
        <v>69.180999999999997</v>
      </c>
      <c r="G508" s="1">
        <v>1459</v>
      </c>
      <c r="H508" s="33">
        <v>0.41825000000000001</v>
      </c>
      <c r="I508" s="33"/>
      <c r="J508" s="33"/>
      <c r="K508" s="33">
        <v>5.457E-2</v>
      </c>
      <c r="L508" s="33">
        <v>0.15581999999999999</v>
      </c>
      <c r="M508" s="1"/>
      <c r="N508" s="1"/>
      <c r="O508" s="1"/>
      <c r="P508" s="1"/>
      <c r="Q508" s="1"/>
      <c r="R508" s="1"/>
      <c r="S508" s="1"/>
      <c r="T508" s="1"/>
    </row>
    <row r="509" spans="1:20" x14ac:dyDescent="0.2">
      <c r="A509" s="1"/>
      <c r="B509" s="103"/>
      <c r="C509" s="105"/>
      <c r="D509" s="29">
        <v>47</v>
      </c>
      <c r="E509" s="4">
        <v>71.94</v>
      </c>
      <c r="F509" s="4">
        <v>70.331999999999994</v>
      </c>
      <c r="G509" s="1">
        <v>1339</v>
      </c>
      <c r="H509" s="33">
        <v>0.44588</v>
      </c>
      <c r="I509" s="33"/>
      <c r="J509" s="33"/>
      <c r="K509" s="33">
        <v>4.471E-2</v>
      </c>
      <c r="L509" s="33">
        <v>0.15253</v>
      </c>
      <c r="M509" s="1"/>
      <c r="N509" s="1"/>
      <c r="O509" s="1"/>
      <c r="P509" s="1"/>
      <c r="Q509" s="1"/>
      <c r="R509" s="1"/>
      <c r="S509" s="1"/>
      <c r="T509" s="1"/>
    </row>
    <row r="510" spans="1:20" x14ac:dyDescent="0.2">
      <c r="A510" s="1"/>
      <c r="B510" s="103"/>
      <c r="C510" s="105"/>
      <c r="D510" s="29">
        <v>50</v>
      </c>
      <c r="E510" s="4">
        <v>72.45</v>
      </c>
      <c r="F510" s="4">
        <v>70.376000000000005</v>
      </c>
      <c r="G510" s="1">
        <v>1382</v>
      </c>
      <c r="H510" s="33">
        <v>0.43</v>
      </c>
      <c r="I510" s="33"/>
      <c r="J510" s="33"/>
      <c r="K510" s="33">
        <v>6.1800000000000001E-2</v>
      </c>
      <c r="L510" s="33">
        <v>0.16764999999999999</v>
      </c>
      <c r="M510" s="1"/>
      <c r="N510" s="1"/>
      <c r="O510" s="1"/>
      <c r="P510" s="1"/>
      <c r="Q510" s="1"/>
      <c r="R510" s="1"/>
      <c r="S510" s="1"/>
      <c r="T510" s="1"/>
    </row>
    <row r="511" spans="1:20" x14ac:dyDescent="0.2">
      <c r="A511" s="1"/>
      <c r="B511" s="103"/>
      <c r="C511" s="105"/>
      <c r="D511" s="30">
        <v>91</v>
      </c>
      <c r="E511" s="27">
        <v>72.67</v>
      </c>
      <c r="F511" s="27">
        <v>70.727999999999994</v>
      </c>
      <c r="G511" s="26">
        <v>1359</v>
      </c>
      <c r="H511" s="52">
        <v>0.4335</v>
      </c>
      <c r="I511" s="52"/>
      <c r="J511" s="52"/>
      <c r="K511" s="52">
        <v>6.8379999999999996E-2</v>
      </c>
      <c r="L511" s="52">
        <v>0.18079999999999999</v>
      </c>
      <c r="M511" s="1"/>
      <c r="N511" s="1"/>
      <c r="O511" s="1"/>
      <c r="P511" s="1"/>
      <c r="Q511" s="1"/>
      <c r="R511" s="1"/>
      <c r="S511" s="1"/>
      <c r="T511" s="1"/>
    </row>
    <row r="512" spans="1:20" x14ac:dyDescent="0.2">
      <c r="A512" s="1"/>
      <c r="B512" s="101"/>
      <c r="C512" s="105"/>
      <c r="D512" s="6" t="s">
        <v>8</v>
      </c>
      <c r="E512" s="7">
        <f>AVERAGE(E507:E511)</f>
        <v>72.2</v>
      </c>
      <c r="F512" s="7">
        <f>AVERAGE(F507:F511)</f>
        <v>70.469799999999992</v>
      </c>
      <c r="G512" s="35">
        <f>AVERAGE(G507:G511)</f>
        <v>1344.2</v>
      </c>
      <c r="H512" s="34">
        <f>AVERAGE(H507:H511)</f>
        <v>0.44195200000000001</v>
      </c>
      <c r="I512" s="34" t="e">
        <f t="shared" ref="I512:L512" si="45">AVERAGE(I507:I511)</f>
        <v>#DIV/0!</v>
      </c>
      <c r="J512" s="34" t="e">
        <f t="shared" si="45"/>
        <v>#DIV/0!</v>
      </c>
      <c r="K512" s="34">
        <f t="shared" si="45"/>
        <v>5.6411999999999997E-2</v>
      </c>
      <c r="L512" s="34">
        <f t="shared" si="45"/>
        <v>0.16633599999999998</v>
      </c>
      <c r="M512" s="1"/>
      <c r="N512" s="1"/>
      <c r="O512" s="1"/>
      <c r="P512" s="1"/>
      <c r="Q512" s="1"/>
      <c r="R512" s="1"/>
      <c r="S512" s="1"/>
      <c r="T512" s="1"/>
    </row>
    <row r="513" spans="1:20" x14ac:dyDescent="0.2">
      <c r="A513" s="1"/>
      <c r="B513" s="104">
        <v>1.2</v>
      </c>
      <c r="C513" s="105"/>
      <c r="D513" s="28">
        <v>13</v>
      </c>
      <c r="E513" s="25">
        <v>71.53</v>
      </c>
      <c r="F513" s="25">
        <v>72.686000000000007</v>
      </c>
      <c r="G513" s="25">
        <v>969</v>
      </c>
      <c r="H513" s="36">
        <v>0.54249999999999998</v>
      </c>
      <c r="I513" s="36"/>
      <c r="J513" s="36"/>
      <c r="K513" s="36">
        <v>5.1279999999999999E-2</v>
      </c>
      <c r="L513" s="36">
        <v>3.9449999999999999E-2</v>
      </c>
      <c r="M513" s="1">
        <v>5.457E-2</v>
      </c>
      <c r="N513" s="1">
        <v>4.5359999999999998E-2</v>
      </c>
      <c r="O513" s="75"/>
      <c r="P513" s="75"/>
      <c r="Q513" s="1"/>
      <c r="R513" s="1"/>
      <c r="S513" s="1"/>
      <c r="T513" s="1"/>
    </row>
    <row r="514" spans="1:20" x14ac:dyDescent="0.2">
      <c r="A514" s="1"/>
      <c r="B514" s="105"/>
      <c r="C514" s="105"/>
      <c r="D514" s="29">
        <v>21</v>
      </c>
      <c r="E514" s="4">
        <v>70.08</v>
      </c>
      <c r="F514" s="4">
        <v>72.162999999999997</v>
      </c>
      <c r="G514" s="1">
        <v>897</v>
      </c>
      <c r="H514" s="33">
        <v>0.57499999999999996</v>
      </c>
      <c r="I514" s="33"/>
      <c r="J514" s="33"/>
      <c r="K514" s="33">
        <v>6.6400000000000001E-2</v>
      </c>
      <c r="L514" s="33">
        <v>9.665E-2</v>
      </c>
      <c r="M514" s="1">
        <v>6.6400000000000001E-2</v>
      </c>
      <c r="N514" s="1">
        <v>0.10979999999999999</v>
      </c>
      <c r="O514" s="75"/>
      <c r="P514" s="75"/>
      <c r="Q514" s="1"/>
      <c r="R514" s="1"/>
      <c r="S514" s="1"/>
      <c r="T514" s="1"/>
    </row>
    <row r="515" spans="1:20" x14ac:dyDescent="0.2">
      <c r="A515" s="1"/>
      <c r="B515" s="105"/>
      <c r="C515" s="105"/>
      <c r="D515" s="29">
        <v>47</v>
      </c>
      <c r="E515" s="4">
        <v>72.11</v>
      </c>
      <c r="F515" s="4">
        <v>71.947999999999993</v>
      </c>
      <c r="G515" s="1">
        <v>1139</v>
      </c>
      <c r="H515" s="33">
        <v>0.49412</v>
      </c>
      <c r="I515" s="33"/>
      <c r="J515" s="33"/>
      <c r="K515" s="33">
        <v>4.471E-2</v>
      </c>
      <c r="L515" s="33">
        <v>0.16764999999999999</v>
      </c>
      <c r="M515" s="1">
        <v>4.8649999999999999E-2</v>
      </c>
      <c r="N515" s="1">
        <v>0.1762</v>
      </c>
      <c r="O515" s="75"/>
      <c r="P515" s="75"/>
      <c r="Q515" s="1"/>
      <c r="R515" s="1"/>
      <c r="S515" s="1"/>
      <c r="T515" s="1"/>
    </row>
    <row r="516" spans="1:20" x14ac:dyDescent="0.2">
      <c r="A516" s="1"/>
      <c r="B516" s="105"/>
      <c r="C516" s="105"/>
      <c r="D516" s="29">
        <v>50</v>
      </c>
      <c r="E516" s="4">
        <v>71.94</v>
      </c>
      <c r="F516" s="4">
        <v>72.349000000000004</v>
      </c>
      <c r="G516" s="1">
        <v>1063</v>
      </c>
      <c r="H516" s="33">
        <v>0.51487000000000005</v>
      </c>
      <c r="I516" s="33"/>
      <c r="J516" s="33"/>
      <c r="K516" s="33">
        <v>6.3769999999999993E-2</v>
      </c>
      <c r="L516" s="33">
        <v>0.18409</v>
      </c>
      <c r="M516" s="1">
        <v>6.3769999999999993E-2</v>
      </c>
      <c r="N516" s="1">
        <v>0.18409</v>
      </c>
      <c r="O516" s="75"/>
      <c r="P516" s="75"/>
      <c r="Q516" s="1"/>
      <c r="R516" s="1"/>
      <c r="S516" s="1"/>
      <c r="T516" s="1"/>
    </row>
    <row r="517" spans="1:20" x14ac:dyDescent="0.2">
      <c r="A517" s="1"/>
      <c r="B517" s="105"/>
      <c r="C517" s="105"/>
      <c r="D517" s="30">
        <v>91</v>
      </c>
      <c r="E517" s="27">
        <v>72.95</v>
      </c>
      <c r="F517" s="27">
        <v>71.968999999999994</v>
      </c>
      <c r="G517" s="26">
        <v>1222</v>
      </c>
      <c r="H517" s="52">
        <v>0.46500000000000002</v>
      </c>
      <c r="I517" s="52"/>
      <c r="J517" s="52"/>
      <c r="K517" s="52">
        <v>4.3389999999999998E-2</v>
      </c>
      <c r="L517" s="52">
        <v>0.13675000000000001</v>
      </c>
      <c r="M517" s="1">
        <v>4.1419999999999998E-2</v>
      </c>
      <c r="N517" s="1">
        <v>0.14727000000000001</v>
      </c>
      <c r="O517" s="75"/>
      <c r="P517" s="75"/>
      <c r="Q517" s="1"/>
      <c r="R517" s="1"/>
      <c r="S517" s="1"/>
      <c r="T517" s="1"/>
    </row>
    <row r="518" spans="1:20" x14ac:dyDescent="0.2">
      <c r="A518" s="1"/>
      <c r="B518" s="106"/>
      <c r="C518" s="105"/>
      <c r="D518" s="6" t="s">
        <v>8</v>
      </c>
      <c r="E518" s="7">
        <f>AVERAGE(E513:E517)</f>
        <v>71.722000000000008</v>
      </c>
      <c r="F518" s="7">
        <f>AVERAGE(F513:F517)</f>
        <v>72.222999999999985</v>
      </c>
      <c r="G518" s="35">
        <f>AVERAGE(G513:G517)</f>
        <v>1058</v>
      </c>
      <c r="H518" s="34">
        <f>AVERAGE(H513:H517)</f>
        <v>0.51829799999999993</v>
      </c>
      <c r="I518" s="34" t="e">
        <f t="shared" ref="I518:L518" si="46">AVERAGE(I513:I517)</f>
        <v>#DIV/0!</v>
      </c>
      <c r="J518" s="34" t="e">
        <f t="shared" si="46"/>
        <v>#DIV/0!</v>
      </c>
      <c r="K518" s="34">
        <f t="shared" si="46"/>
        <v>5.391E-2</v>
      </c>
      <c r="L518" s="34">
        <f t="shared" si="46"/>
        <v>0.124918</v>
      </c>
      <c r="M518" s="1">
        <f>AVERAGE(M513:M517)</f>
        <v>5.4961999999999997E-2</v>
      </c>
      <c r="N518" s="1">
        <f>AVERAGE(N513:N517)</f>
        <v>0.132544</v>
      </c>
      <c r="O518" s="75"/>
      <c r="P518" s="75"/>
      <c r="Q518" s="1"/>
      <c r="R518" s="1"/>
      <c r="S518" s="1"/>
      <c r="T518" s="1"/>
    </row>
    <row r="519" spans="1:20" x14ac:dyDescent="0.2">
      <c r="A519" s="1"/>
      <c r="B519" s="104">
        <v>1.4</v>
      </c>
      <c r="C519" s="105"/>
      <c r="D519" s="28">
        <v>13</v>
      </c>
      <c r="E519" s="25">
        <v>64.06</v>
      </c>
      <c r="F519" s="25">
        <v>71.56</v>
      </c>
      <c r="G519" s="25">
        <v>383</v>
      </c>
      <c r="H519" s="36">
        <v>0.76361999999999997</v>
      </c>
      <c r="I519" s="36"/>
      <c r="J519" s="36"/>
      <c r="K519" s="36">
        <v>4.6679999999999999E-2</v>
      </c>
      <c r="L519" s="36">
        <v>0.17554</v>
      </c>
      <c r="M519" s="1"/>
      <c r="N519" s="1"/>
      <c r="O519" s="1"/>
      <c r="P519" s="1"/>
      <c r="Q519" s="1"/>
      <c r="R519" s="1"/>
      <c r="S519" s="1"/>
      <c r="T519" s="1"/>
    </row>
    <row r="520" spans="1:20" x14ac:dyDescent="0.2">
      <c r="A520" s="1"/>
      <c r="B520" s="105"/>
      <c r="C520" s="105"/>
      <c r="D520" s="29">
        <v>21</v>
      </c>
      <c r="E520" s="4">
        <v>61.26</v>
      </c>
      <c r="F520" s="4">
        <v>69.944999999999993</v>
      </c>
      <c r="G520" s="1">
        <v>394</v>
      </c>
      <c r="H520" s="33">
        <v>0.78886999999999996</v>
      </c>
      <c r="I520" s="33"/>
      <c r="J520" s="33"/>
      <c r="K520" s="33">
        <v>3.3529999999999997E-2</v>
      </c>
      <c r="L520" s="33">
        <v>6.5089999999999995E-2</v>
      </c>
      <c r="M520" s="1"/>
      <c r="N520" s="1"/>
      <c r="O520" s="1"/>
      <c r="P520" s="1"/>
      <c r="Q520" s="1"/>
      <c r="R520" s="1"/>
      <c r="S520" s="1"/>
      <c r="T520" s="1"/>
    </row>
    <row r="521" spans="1:20" x14ac:dyDescent="0.2">
      <c r="A521" s="1"/>
      <c r="B521" s="105"/>
      <c r="C521" s="105"/>
      <c r="D521" s="29">
        <v>47</v>
      </c>
      <c r="E521" s="4">
        <v>65.69</v>
      </c>
      <c r="F521" s="4">
        <v>72.010000000000005</v>
      </c>
      <c r="G521" s="1">
        <v>469</v>
      </c>
      <c r="H521" s="33">
        <v>0.72587999999999997</v>
      </c>
      <c r="I521" s="33"/>
      <c r="J521" s="33"/>
      <c r="K521" s="33">
        <v>4.931E-2</v>
      </c>
      <c r="L521" s="33">
        <v>4.0759999999999998E-2</v>
      </c>
      <c r="M521" s="1"/>
      <c r="N521" s="1"/>
      <c r="O521" s="1"/>
      <c r="P521" s="1"/>
      <c r="Q521" s="1"/>
      <c r="R521" s="1"/>
      <c r="S521" s="1"/>
      <c r="T521" s="1"/>
    </row>
    <row r="522" spans="1:20" x14ac:dyDescent="0.2">
      <c r="A522" s="1"/>
      <c r="B522" s="105"/>
      <c r="C522" s="105"/>
      <c r="D522" s="29">
        <v>50</v>
      </c>
      <c r="E522" s="4">
        <v>65.510000000000005</v>
      </c>
      <c r="F522" s="4">
        <v>71.855999999999995</v>
      </c>
      <c r="G522" s="1">
        <v>478</v>
      </c>
      <c r="H522" s="33">
        <v>0.72536999999999996</v>
      </c>
      <c r="I522" s="33"/>
      <c r="J522" s="33"/>
      <c r="K522" s="33">
        <v>9.5329999999999998E-2</v>
      </c>
      <c r="L522" s="33">
        <v>0.17291000000000001</v>
      </c>
      <c r="M522" s="1"/>
      <c r="N522" s="1"/>
      <c r="O522" s="1"/>
      <c r="P522" s="1"/>
      <c r="Q522" s="1"/>
      <c r="R522" s="1"/>
      <c r="S522" s="1"/>
      <c r="T522" s="1"/>
    </row>
    <row r="523" spans="1:20" x14ac:dyDescent="0.2">
      <c r="A523" s="1"/>
      <c r="B523" s="105"/>
      <c r="C523" s="105"/>
      <c r="D523" s="30">
        <v>91</v>
      </c>
      <c r="E523" s="27">
        <v>62.12</v>
      </c>
      <c r="F523" s="27">
        <v>70.86</v>
      </c>
      <c r="G523" s="26">
        <v>316</v>
      </c>
      <c r="H523" s="52">
        <v>0.79974999999999996</v>
      </c>
      <c r="I523" s="52"/>
      <c r="J523" s="52"/>
      <c r="K523" s="52">
        <v>3.6159999999999998E-2</v>
      </c>
      <c r="L523" s="52">
        <v>0.17094000000000001</v>
      </c>
      <c r="M523" s="1"/>
      <c r="N523" s="1"/>
      <c r="O523" s="1"/>
      <c r="P523" s="1"/>
      <c r="Q523" s="1"/>
      <c r="R523" s="1"/>
      <c r="S523" s="1"/>
      <c r="T523" s="1"/>
    </row>
    <row r="524" spans="1:20" x14ac:dyDescent="0.2">
      <c r="A524" s="1"/>
      <c r="B524" s="106"/>
      <c r="C524" s="106"/>
      <c r="D524" s="6" t="s">
        <v>8</v>
      </c>
      <c r="E524" s="7">
        <f>AVERAGE(E519:E523)</f>
        <v>63.727999999999994</v>
      </c>
      <c r="F524" s="7">
        <f>AVERAGE(F519:F523)</f>
        <v>71.246200000000002</v>
      </c>
      <c r="G524" s="35">
        <f>AVERAGE(G519:G523)</f>
        <v>408</v>
      </c>
      <c r="H524" s="34">
        <f>AVERAGE(H519:H523)</f>
        <v>0.76069799999999987</v>
      </c>
      <c r="I524" s="34" t="e">
        <f t="shared" ref="I524:L524" si="47">AVERAGE(I519:I523)</f>
        <v>#DIV/0!</v>
      </c>
      <c r="J524" s="34" t="e">
        <f t="shared" si="47"/>
        <v>#DIV/0!</v>
      </c>
      <c r="K524" s="34">
        <f t="shared" si="47"/>
        <v>5.2201999999999991E-2</v>
      </c>
      <c r="L524" s="34">
        <f t="shared" si="47"/>
        <v>0.12504799999999999</v>
      </c>
      <c r="M524" s="1"/>
      <c r="N524" s="1"/>
      <c r="O524" s="1"/>
      <c r="P524" s="1"/>
      <c r="Q524" s="1"/>
      <c r="R524" s="1"/>
      <c r="S524" s="1"/>
      <c r="T524" s="1"/>
    </row>
  </sheetData>
  <mergeCells count="213">
    <mergeCell ref="B401:B406"/>
    <mergeCell ref="C401:C418"/>
    <mergeCell ref="B407:B412"/>
    <mergeCell ref="B413:B418"/>
    <mergeCell ref="B419:B424"/>
    <mergeCell ref="C419:C436"/>
    <mergeCell ref="B425:B430"/>
    <mergeCell ref="B431:B436"/>
    <mergeCell ref="B399:B400"/>
    <mergeCell ref="C399:H399"/>
    <mergeCell ref="I399:L399"/>
    <mergeCell ref="M399:P399"/>
    <mergeCell ref="Q399:T399"/>
    <mergeCell ref="U399:X399"/>
    <mergeCell ref="Y399:AB399"/>
    <mergeCell ref="AC399:AF399"/>
    <mergeCell ref="AG399:AJ399"/>
    <mergeCell ref="B360:B365"/>
    <mergeCell ref="C360:C377"/>
    <mergeCell ref="B366:B371"/>
    <mergeCell ref="B372:B377"/>
    <mergeCell ref="B378:B383"/>
    <mergeCell ref="C378:C395"/>
    <mergeCell ref="B384:B389"/>
    <mergeCell ref="B390:B395"/>
    <mergeCell ref="B358:B359"/>
    <mergeCell ref="C358:H358"/>
    <mergeCell ref="I358:L358"/>
    <mergeCell ref="M358:P358"/>
    <mergeCell ref="Q358:T358"/>
    <mergeCell ref="U358:X358"/>
    <mergeCell ref="Y358:AB358"/>
    <mergeCell ref="AC358:AF358"/>
    <mergeCell ref="AG358:AJ358"/>
    <mergeCell ref="A151:A156"/>
    <mergeCell ref="E151:E156"/>
    <mergeCell ref="I151:I156"/>
    <mergeCell ref="A160:A161"/>
    <mergeCell ref="B160:G160"/>
    <mergeCell ref="H160:M160"/>
    <mergeCell ref="N160:S160"/>
    <mergeCell ref="A162:A167"/>
    <mergeCell ref="B162:B197"/>
    <mergeCell ref="H162:H197"/>
    <mergeCell ref="N162:N197"/>
    <mergeCell ref="A168:A173"/>
    <mergeCell ref="A174:A179"/>
    <mergeCell ref="A180:A185"/>
    <mergeCell ref="A186:A191"/>
    <mergeCell ref="A192:A197"/>
    <mergeCell ref="A134:A139"/>
    <mergeCell ref="E134:E139"/>
    <mergeCell ref="I134:I139"/>
    <mergeCell ref="A143:D143"/>
    <mergeCell ref="E143:H143"/>
    <mergeCell ref="I143:L143"/>
    <mergeCell ref="A128:A133"/>
    <mergeCell ref="E128:E133"/>
    <mergeCell ref="I128:I133"/>
    <mergeCell ref="A116:A121"/>
    <mergeCell ref="F116:F121"/>
    <mergeCell ref="H33:L33"/>
    <mergeCell ref="A145:A150"/>
    <mergeCell ref="E145:E150"/>
    <mergeCell ref="I145:I150"/>
    <mergeCell ref="A126:D126"/>
    <mergeCell ref="E126:H126"/>
    <mergeCell ref="I126:L126"/>
    <mergeCell ref="A96:E96"/>
    <mergeCell ref="F96:J96"/>
    <mergeCell ref="K96:O96"/>
    <mergeCell ref="A98:A103"/>
    <mergeCell ref="F98:F103"/>
    <mergeCell ref="K98:K103"/>
    <mergeCell ref="K116:K121"/>
    <mergeCell ref="M116:O120"/>
    <mergeCell ref="A104:A109"/>
    <mergeCell ref="F104:F109"/>
    <mergeCell ref="K104:K109"/>
    <mergeCell ref="A110:A115"/>
    <mergeCell ref="F110:F115"/>
    <mergeCell ref="K110:K115"/>
    <mergeCell ref="A57:A62"/>
    <mergeCell ref="Q2:U2"/>
    <mergeCell ref="Q4:Q9"/>
    <mergeCell ref="A37:E37"/>
    <mergeCell ref="F37:J37"/>
    <mergeCell ref="F16:F21"/>
    <mergeCell ref="K16:K21"/>
    <mergeCell ref="F39:F44"/>
    <mergeCell ref="K39:K44"/>
    <mergeCell ref="A2:E2"/>
    <mergeCell ref="F2:J2"/>
    <mergeCell ref="K2:O2"/>
    <mergeCell ref="A4:A9"/>
    <mergeCell ref="F4:F9"/>
    <mergeCell ref="K4:K9"/>
    <mergeCell ref="A22:A27"/>
    <mergeCell ref="F22:F27"/>
    <mergeCell ref="K22:K27"/>
    <mergeCell ref="M22:O26"/>
    <mergeCell ref="A10:A15"/>
    <mergeCell ref="F10:F15"/>
    <mergeCell ref="K37:O37"/>
    <mergeCell ref="A39:A44"/>
    <mergeCell ref="K10:K15"/>
    <mergeCell ref="A16:A21"/>
    <mergeCell ref="F57:F62"/>
    <mergeCell ref="K57:K62"/>
    <mergeCell ref="M57:O61"/>
    <mergeCell ref="A45:A50"/>
    <mergeCell ref="A68:E68"/>
    <mergeCell ref="F68:J68"/>
    <mergeCell ref="K68:O68"/>
    <mergeCell ref="A70:A75"/>
    <mergeCell ref="F70:F75"/>
    <mergeCell ref="K70:K75"/>
    <mergeCell ref="F45:F50"/>
    <mergeCell ref="K45:K50"/>
    <mergeCell ref="A51:A56"/>
    <mergeCell ref="F51:F56"/>
    <mergeCell ref="K51:K56"/>
    <mergeCell ref="A88:A93"/>
    <mergeCell ref="F88:F93"/>
    <mergeCell ref="K88:K93"/>
    <mergeCell ref="M88:O92"/>
    <mergeCell ref="A76:A81"/>
    <mergeCell ref="F76:F81"/>
    <mergeCell ref="K76:K81"/>
    <mergeCell ref="A82:A87"/>
    <mergeCell ref="F82:F87"/>
    <mergeCell ref="K82:K87"/>
    <mergeCell ref="N200:S200"/>
    <mergeCell ref="A202:A207"/>
    <mergeCell ref="B202:B237"/>
    <mergeCell ref="H202:H237"/>
    <mergeCell ref="N202:N237"/>
    <mergeCell ref="A208:A213"/>
    <mergeCell ref="A214:A219"/>
    <mergeCell ref="A220:A225"/>
    <mergeCell ref="A226:A231"/>
    <mergeCell ref="A232:A237"/>
    <mergeCell ref="A200:A201"/>
    <mergeCell ref="B200:G200"/>
    <mergeCell ref="H200:M200"/>
    <mergeCell ref="B249:B254"/>
    <mergeCell ref="H249:H254"/>
    <mergeCell ref="N249:N254"/>
    <mergeCell ref="B241:G241"/>
    <mergeCell ref="H241:M241"/>
    <mergeCell ref="N241:S241"/>
    <mergeCell ref="B243:B248"/>
    <mergeCell ref="H243:H248"/>
    <mergeCell ref="N243:N248"/>
    <mergeCell ref="A257:A258"/>
    <mergeCell ref="B257:G257"/>
    <mergeCell ref="H257:M257"/>
    <mergeCell ref="N257:S257"/>
    <mergeCell ref="A259:A264"/>
    <mergeCell ref="B259:B294"/>
    <mergeCell ref="H259:H294"/>
    <mergeCell ref="N259:N294"/>
    <mergeCell ref="A265:A270"/>
    <mergeCell ref="A271:A276"/>
    <mergeCell ref="A277:A282"/>
    <mergeCell ref="A283:A288"/>
    <mergeCell ref="A289:A294"/>
    <mergeCell ref="A297:A298"/>
    <mergeCell ref="B297:G297"/>
    <mergeCell ref="H297:M297"/>
    <mergeCell ref="N297:S297"/>
    <mergeCell ref="A299:A304"/>
    <mergeCell ref="B299:B334"/>
    <mergeCell ref="H299:H334"/>
    <mergeCell ref="N299:N334"/>
    <mergeCell ref="A305:A310"/>
    <mergeCell ref="A311:A316"/>
    <mergeCell ref="A317:A322"/>
    <mergeCell ref="A323:A328"/>
    <mergeCell ref="A329:A334"/>
    <mergeCell ref="B338:G338"/>
    <mergeCell ref="H338:M338"/>
    <mergeCell ref="N338:S338"/>
    <mergeCell ref="B340:B345"/>
    <mergeCell ref="H340:H345"/>
    <mergeCell ref="N340:N345"/>
    <mergeCell ref="B346:B351"/>
    <mergeCell ref="H346:H351"/>
    <mergeCell ref="N346:N351"/>
    <mergeCell ref="B507:B512"/>
    <mergeCell ref="C507:C524"/>
    <mergeCell ref="B513:B518"/>
    <mergeCell ref="B519:B524"/>
    <mergeCell ref="B445:B446"/>
    <mergeCell ref="C445:H445"/>
    <mergeCell ref="I445:J445"/>
    <mergeCell ref="K445:L445"/>
    <mergeCell ref="B447:B452"/>
    <mergeCell ref="C447:C464"/>
    <mergeCell ref="B453:B458"/>
    <mergeCell ref="B459:B464"/>
    <mergeCell ref="B465:B470"/>
    <mergeCell ref="C465:C482"/>
    <mergeCell ref="B471:B476"/>
    <mergeCell ref="B477:B482"/>
    <mergeCell ref="B487:B488"/>
    <mergeCell ref="C487:H487"/>
    <mergeCell ref="I487:J487"/>
    <mergeCell ref="K487:L487"/>
    <mergeCell ref="B489:B494"/>
    <mergeCell ref="C489:C506"/>
    <mergeCell ref="B495:B500"/>
    <mergeCell ref="B501:B5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AF6D-6C6A-4C2D-9611-233B3B832D1C}">
  <dimension ref="A3:U29"/>
  <sheetViews>
    <sheetView topLeftCell="E8" workbookViewId="0">
      <selection activeCell="R28" sqref="R28:S28"/>
    </sheetView>
  </sheetViews>
  <sheetFormatPr baseColWidth="10" defaultColWidth="8.83203125" defaultRowHeight="15" x14ac:dyDescent="0.2"/>
  <sheetData>
    <row r="3" spans="1:21" x14ac:dyDescent="0.2">
      <c r="A3" t="s">
        <v>65</v>
      </c>
      <c r="B3" t="s">
        <v>47</v>
      </c>
      <c r="C3" t="s">
        <v>66</v>
      </c>
      <c r="D3" t="s">
        <v>67</v>
      </c>
    </row>
    <row r="4" spans="1:21" x14ac:dyDescent="0.2">
      <c r="A4" t="s">
        <v>68</v>
      </c>
      <c r="B4">
        <v>7.52</v>
      </c>
      <c r="C4">
        <v>7.21</v>
      </c>
      <c r="D4">
        <v>5.92</v>
      </c>
      <c r="E4">
        <f>AVERAGE(B4:D4)</f>
        <v>6.8833333333333329</v>
      </c>
    </row>
    <row r="5" spans="1:21" x14ac:dyDescent="0.2">
      <c r="A5" t="s">
        <v>69</v>
      </c>
      <c r="B5">
        <v>2.4700000000000002</v>
      </c>
      <c r="C5">
        <v>2.84</v>
      </c>
      <c r="D5">
        <v>1.38</v>
      </c>
      <c r="E5">
        <f>AVERAGE(B5:D5)</f>
        <v>2.23</v>
      </c>
    </row>
    <row r="7" spans="1:21" x14ac:dyDescent="0.2">
      <c r="A7" t="s">
        <v>70</v>
      </c>
      <c r="C7">
        <f>10/8</f>
        <v>1.25</v>
      </c>
      <c r="D7">
        <f>10/64</f>
        <v>0.15625</v>
      </c>
    </row>
    <row r="9" spans="1:21" x14ac:dyDescent="0.2">
      <c r="B9">
        <v>4.6100000000000003</v>
      </c>
      <c r="C9">
        <v>3.86</v>
      </c>
      <c r="D9">
        <v>5.07</v>
      </c>
      <c r="E9">
        <f>AVERAGE(B9:D9)</f>
        <v>4.5133333333333336</v>
      </c>
    </row>
    <row r="11" spans="1:21" x14ac:dyDescent="0.2">
      <c r="A11" t="s">
        <v>71</v>
      </c>
    </row>
    <row r="14" spans="1:21" x14ac:dyDescent="0.2">
      <c r="A14" s="132" t="s">
        <v>72</v>
      </c>
      <c r="B14" s="136" t="s">
        <v>73</v>
      </c>
      <c r="C14" s="129" t="s">
        <v>74</v>
      </c>
      <c r="D14" s="129"/>
      <c r="E14" s="129"/>
      <c r="F14" s="130"/>
      <c r="G14" s="129" t="s">
        <v>75</v>
      </c>
      <c r="H14" s="129"/>
      <c r="I14" s="129"/>
      <c r="J14" s="130"/>
      <c r="L14" s="132" t="s">
        <v>72</v>
      </c>
      <c r="M14" s="136" t="s">
        <v>73</v>
      </c>
      <c r="N14" s="129" t="s">
        <v>74</v>
      </c>
      <c r="O14" s="129"/>
      <c r="P14" s="129"/>
      <c r="Q14" s="130"/>
      <c r="R14" s="129" t="s">
        <v>75</v>
      </c>
      <c r="S14" s="129"/>
      <c r="T14" s="129"/>
      <c r="U14" s="130"/>
    </row>
    <row r="15" spans="1:21" x14ac:dyDescent="0.2">
      <c r="A15" s="133"/>
      <c r="B15" s="135"/>
      <c r="C15" s="133" t="s">
        <v>76</v>
      </c>
      <c r="D15" s="135"/>
      <c r="E15" s="133" t="s">
        <v>77</v>
      </c>
      <c r="F15" s="135"/>
      <c r="G15" s="133" t="s">
        <v>68</v>
      </c>
      <c r="H15" s="135"/>
      <c r="I15" s="133" t="s">
        <v>77</v>
      </c>
      <c r="J15" s="135"/>
      <c r="L15" s="133"/>
      <c r="M15" s="135"/>
      <c r="N15" s="133" t="s">
        <v>76</v>
      </c>
      <c r="O15" s="135"/>
      <c r="P15" s="133" t="s">
        <v>77</v>
      </c>
      <c r="Q15" s="135"/>
      <c r="R15" s="133" t="s">
        <v>68</v>
      </c>
      <c r="S15" s="135"/>
      <c r="T15" s="133" t="s">
        <v>77</v>
      </c>
      <c r="U15" s="135"/>
    </row>
    <row r="16" spans="1:21" x14ac:dyDescent="0.2">
      <c r="A16" s="134"/>
      <c r="B16" s="137"/>
      <c r="C16" s="91" t="s">
        <v>78</v>
      </c>
      <c r="D16" s="92" t="s">
        <v>7</v>
      </c>
      <c r="E16" s="91" t="s">
        <v>78</v>
      </c>
      <c r="F16" s="92" t="s">
        <v>7</v>
      </c>
      <c r="G16" s="91" t="s">
        <v>78</v>
      </c>
      <c r="H16" s="92" t="s">
        <v>7</v>
      </c>
      <c r="I16" s="91" t="s">
        <v>78</v>
      </c>
      <c r="J16" s="92" t="s">
        <v>7</v>
      </c>
      <c r="L16" s="134"/>
      <c r="M16" s="137"/>
      <c r="N16" s="91" t="s">
        <v>78</v>
      </c>
      <c r="O16" s="92" t="s">
        <v>7</v>
      </c>
      <c r="P16" s="91" t="s">
        <v>78</v>
      </c>
      <c r="Q16" s="92" t="s">
        <v>7</v>
      </c>
      <c r="R16" s="91" t="s">
        <v>78</v>
      </c>
      <c r="S16" s="92" t="s">
        <v>7</v>
      </c>
      <c r="T16" s="91" t="s">
        <v>78</v>
      </c>
      <c r="U16" s="92" t="s">
        <v>7</v>
      </c>
    </row>
    <row r="17" spans="1:21" x14ac:dyDescent="0.2">
      <c r="A17" t="s">
        <v>47</v>
      </c>
      <c r="B17" s="109">
        <v>1</v>
      </c>
      <c r="C17" s="4">
        <v>71.581999999999994</v>
      </c>
      <c r="D17" s="9">
        <v>70.617999999999995</v>
      </c>
      <c r="E17" s="90">
        <v>72.525999999999996</v>
      </c>
      <c r="F17" s="97">
        <v>71.671999999999997</v>
      </c>
      <c r="G17" s="4">
        <v>74.462000000000003</v>
      </c>
      <c r="H17" s="9">
        <v>73.900000000000006</v>
      </c>
      <c r="I17" s="90">
        <v>72.866</v>
      </c>
      <c r="J17" s="97">
        <v>71.335999999999999</v>
      </c>
      <c r="L17" t="s">
        <v>47</v>
      </c>
      <c r="M17" s="109">
        <v>1</v>
      </c>
      <c r="N17" s="4">
        <v>71.581999999999994</v>
      </c>
      <c r="O17" s="9">
        <v>70.617999999999995</v>
      </c>
      <c r="P17" s="90">
        <v>72.525999999999996</v>
      </c>
      <c r="Q17" s="97">
        <v>71.671999999999997</v>
      </c>
      <c r="R17" s="4">
        <v>74.462000000000003</v>
      </c>
      <c r="S17" s="9">
        <v>73.900000000000006</v>
      </c>
      <c r="T17" s="90">
        <v>72.866</v>
      </c>
      <c r="U17" s="97">
        <v>71.335999999999999</v>
      </c>
    </row>
    <row r="18" spans="1:21" x14ac:dyDescent="0.2">
      <c r="A18" t="s">
        <v>66</v>
      </c>
      <c r="B18" s="109"/>
      <c r="C18" s="90">
        <v>72.162000000000006</v>
      </c>
      <c r="D18" s="97">
        <v>71.924000000000007</v>
      </c>
      <c r="E18" s="42">
        <v>71.463999999999984</v>
      </c>
      <c r="F18" s="93">
        <v>71.722000000000008</v>
      </c>
      <c r="G18" s="42">
        <v>73.855999999999995</v>
      </c>
      <c r="H18" s="93">
        <v>75.248000000000005</v>
      </c>
      <c r="I18" s="42">
        <v>71.756</v>
      </c>
      <c r="J18" s="93">
        <v>68.677999999999997</v>
      </c>
      <c r="L18" t="s">
        <v>66</v>
      </c>
      <c r="M18" s="109"/>
      <c r="N18" s="90">
        <v>72.162000000000006</v>
      </c>
      <c r="O18" s="97">
        <v>71.924000000000007</v>
      </c>
      <c r="P18" s="42">
        <v>71.463999999999984</v>
      </c>
      <c r="Q18" s="93">
        <v>71.722000000000008</v>
      </c>
      <c r="R18" s="42">
        <v>73.855999999999995</v>
      </c>
      <c r="S18" s="93">
        <v>75.248000000000005</v>
      </c>
      <c r="T18" s="42">
        <v>71.756</v>
      </c>
      <c r="U18" s="93">
        <v>68.677999999999997</v>
      </c>
    </row>
    <row r="19" spans="1:21" x14ac:dyDescent="0.2">
      <c r="A19" s="94" t="s">
        <v>67</v>
      </c>
      <c r="B19" s="131"/>
      <c r="C19" s="95">
        <v>70.53</v>
      </c>
      <c r="D19" s="96">
        <v>71.701800000000006</v>
      </c>
      <c r="E19" s="95">
        <v>72.122500000000002</v>
      </c>
      <c r="F19" s="96">
        <v>70.175799999999995</v>
      </c>
      <c r="G19" s="98">
        <v>74.772000000000006</v>
      </c>
      <c r="H19" s="99">
        <v>74.615000000000009</v>
      </c>
      <c r="I19" s="95">
        <v>71.64500000000001</v>
      </c>
      <c r="J19" s="96">
        <v>69.842799999999997</v>
      </c>
      <c r="L19" s="94" t="s">
        <v>67</v>
      </c>
      <c r="M19" s="131"/>
      <c r="N19" s="96">
        <f t="shared" ref="N19:U19" si="0">MAX(C17:C18)-C19</f>
        <v>1.632000000000005</v>
      </c>
      <c r="O19" s="96">
        <f t="shared" si="0"/>
        <v>0.22220000000000084</v>
      </c>
      <c r="P19" s="96">
        <f t="shared" si="0"/>
        <v>0.40349999999999397</v>
      </c>
      <c r="Q19" s="96">
        <f t="shared" si="0"/>
        <v>1.5462000000000131</v>
      </c>
      <c r="R19" s="96">
        <f t="shared" si="0"/>
        <v>-0.31000000000000227</v>
      </c>
      <c r="S19" s="96">
        <f t="shared" si="0"/>
        <v>0.63299999999999557</v>
      </c>
      <c r="T19" s="96">
        <f t="shared" si="0"/>
        <v>1.2209999999999894</v>
      </c>
      <c r="U19" s="96">
        <f t="shared" si="0"/>
        <v>1.4932000000000016</v>
      </c>
    </row>
    <row r="20" spans="1:21" x14ac:dyDescent="0.2">
      <c r="A20" t="s">
        <v>47</v>
      </c>
      <c r="B20" s="109">
        <v>1.2</v>
      </c>
      <c r="C20" s="4">
        <v>71.161999999999992</v>
      </c>
      <c r="D20" s="9">
        <v>72.194000000000003</v>
      </c>
      <c r="E20" s="90">
        <v>72.402000000000001</v>
      </c>
      <c r="F20" s="97">
        <v>72.410000000000011</v>
      </c>
      <c r="G20" s="4">
        <v>73.981999999999999</v>
      </c>
      <c r="H20" s="9">
        <v>74.657999999999987</v>
      </c>
      <c r="I20" s="42">
        <v>71.833999999999989</v>
      </c>
      <c r="J20" s="93">
        <v>71.966000000000008</v>
      </c>
      <c r="L20" t="s">
        <v>47</v>
      </c>
      <c r="M20" s="109">
        <v>1.2</v>
      </c>
      <c r="N20" s="4">
        <v>71.161999999999992</v>
      </c>
      <c r="O20" s="9">
        <v>72.194000000000003</v>
      </c>
      <c r="P20" s="90">
        <v>72.402000000000001</v>
      </c>
      <c r="Q20" s="97">
        <v>72.410000000000011</v>
      </c>
      <c r="R20" s="4">
        <v>73.981999999999999</v>
      </c>
      <c r="S20" s="9">
        <v>74.657999999999987</v>
      </c>
      <c r="T20" s="42">
        <v>71.833999999999989</v>
      </c>
      <c r="U20" s="93">
        <v>71.966000000000008</v>
      </c>
    </row>
    <row r="21" spans="1:21" x14ac:dyDescent="0.2">
      <c r="A21" t="s">
        <v>66</v>
      </c>
      <c r="B21" s="109"/>
      <c r="C21" s="90">
        <v>71.165999999999997</v>
      </c>
      <c r="D21" s="97">
        <v>71.926000000000002</v>
      </c>
      <c r="E21" s="42">
        <v>72.131999999999991</v>
      </c>
      <c r="F21" s="93">
        <v>70.222000000000008</v>
      </c>
      <c r="G21" s="42">
        <v>74.744</v>
      </c>
      <c r="H21" s="93">
        <v>74.459999999999994</v>
      </c>
      <c r="I21" s="90">
        <v>72.494</v>
      </c>
      <c r="J21" s="93">
        <v>70.358000000000004</v>
      </c>
      <c r="L21" t="s">
        <v>66</v>
      </c>
      <c r="M21" s="109"/>
      <c r="N21" s="90">
        <v>71.165999999999997</v>
      </c>
      <c r="O21" s="97">
        <v>71.926000000000002</v>
      </c>
      <c r="P21" s="42">
        <v>72.131999999999991</v>
      </c>
      <c r="Q21" s="93">
        <v>70.222000000000008</v>
      </c>
      <c r="R21" s="42">
        <v>74.744</v>
      </c>
      <c r="S21" s="93">
        <v>74.459999999999994</v>
      </c>
      <c r="T21" s="90">
        <v>72.494</v>
      </c>
      <c r="U21" s="93">
        <v>70.358000000000004</v>
      </c>
    </row>
    <row r="22" spans="1:21" x14ac:dyDescent="0.2">
      <c r="A22" s="94" t="s">
        <v>67</v>
      </c>
      <c r="B22" s="131"/>
      <c r="C22" s="95">
        <v>70.36999999999999</v>
      </c>
      <c r="D22" s="96">
        <v>72.117800000000003</v>
      </c>
      <c r="E22" s="95">
        <v>71.622500000000002</v>
      </c>
      <c r="F22" s="96">
        <v>71.838999999999984</v>
      </c>
      <c r="G22" s="98">
        <v>74.873999999999995</v>
      </c>
      <c r="H22" s="99">
        <v>74.859200000000001</v>
      </c>
      <c r="I22" s="95">
        <v>71.262500000000003</v>
      </c>
      <c r="J22" s="99">
        <v>72.065200000000004</v>
      </c>
      <c r="L22" s="94" t="s">
        <v>67</v>
      </c>
      <c r="M22" s="131"/>
      <c r="N22" s="96">
        <f t="shared" ref="N22:U22" si="1">MAX(C20:C21)-C22</f>
        <v>0.79600000000000648</v>
      </c>
      <c r="O22" s="96">
        <f t="shared" si="1"/>
        <v>7.6200000000000045E-2</v>
      </c>
      <c r="P22" s="96">
        <f t="shared" si="1"/>
        <v>0.77949999999999875</v>
      </c>
      <c r="Q22" s="96">
        <f t="shared" si="1"/>
        <v>0.57100000000002638</v>
      </c>
      <c r="R22" s="96">
        <f t="shared" si="1"/>
        <v>-0.12999999999999545</v>
      </c>
      <c r="S22" s="96">
        <f t="shared" si="1"/>
        <v>-0.20120000000001426</v>
      </c>
      <c r="T22" s="96">
        <f t="shared" si="1"/>
        <v>1.2314999999999969</v>
      </c>
      <c r="U22" s="96">
        <f t="shared" si="1"/>
        <v>-9.919999999999618E-2</v>
      </c>
    </row>
    <row r="23" spans="1:21" x14ac:dyDescent="0.2">
      <c r="A23" t="s">
        <v>47</v>
      </c>
      <c r="B23" s="109">
        <v>1.4</v>
      </c>
      <c r="C23" s="4">
        <v>68.466000000000008</v>
      </c>
      <c r="D23" s="9">
        <v>73.366</v>
      </c>
      <c r="E23" s="42">
        <v>67.14</v>
      </c>
      <c r="F23" s="93">
        <v>72.316000000000003</v>
      </c>
      <c r="G23" s="4">
        <v>68.203999999999994</v>
      </c>
      <c r="H23" s="9">
        <v>74.296000000000006</v>
      </c>
      <c r="I23" s="42">
        <v>64.992000000000004</v>
      </c>
      <c r="J23" s="93">
        <v>71.835999999999999</v>
      </c>
      <c r="L23" t="s">
        <v>47</v>
      </c>
      <c r="M23" s="109">
        <v>1.4</v>
      </c>
      <c r="N23" s="4">
        <v>68.466000000000008</v>
      </c>
      <c r="O23" s="9">
        <v>73.366</v>
      </c>
      <c r="P23" s="42">
        <v>67.14</v>
      </c>
      <c r="Q23" s="93">
        <v>72.316000000000003</v>
      </c>
      <c r="R23" s="4">
        <v>68.203999999999994</v>
      </c>
      <c r="S23" s="9">
        <v>74.296000000000006</v>
      </c>
      <c r="T23" s="42">
        <v>64.992000000000004</v>
      </c>
      <c r="U23" s="93">
        <v>71.835999999999999</v>
      </c>
    </row>
    <row r="24" spans="1:21" x14ac:dyDescent="0.2">
      <c r="A24" t="s">
        <v>66</v>
      </c>
      <c r="B24" s="109"/>
      <c r="C24" s="90">
        <v>69.623999999999995</v>
      </c>
      <c r="D24" s="97">
        <v>73.483999999999995</v>
      </c>
      <c r="E24" s="90">
        <v>69.11999999999999</v>
      </c>
      <c r="F24" s="97">
        <v>72.918000000000006</v>
      </c>
      <c r="G24" s="90">
        <v>72.231999999999999</v>
      </c>
      <c r="H24" s="97">
        <v>75.705999999999989</v>
      </c>
      <c r="I24" s="90">
        <v>67.091999999999999</v>
      </c>
      <c r="J24" s="97">
        <v>72.297999999999988</v>
      </c>
      <c r="L24" t="s">
        <v>66</v>
      </c>
      <c r="M24" s="109"/>
      <c r="N24" s="90">
        <v>69.623999999999995</v>
      </c>
      <c r="O24" s="97">
        <v>73.483999999999995</v>
      </c>
      <c r="P24" s="90">
        <v>69.11999999999999</v>
      </c>
      <c r="Q24" s="97">
        <v>72.918000000000006</v>
      </c>
      <c r="R24" s="90">
        <v>72.231999999999999</v>
      </c>
      <c r="S24" s="97">
        <v>75.705999999999989</v>
      </c>
      <c r="T24" s="90">
        <v>67.091999999999999</v>
      </c>
      <c r="U24" s="97">
        <v>72.297999999999988</v>
      </c>
    </row>
    <row r="25" spans="1:21" x14ac:dyDescent="0.2">
      <c r="A25" s="94" t="s">
        <v>67</v>
      </c>
      <c r="B25" s="131"/>
      <c r="C25" s="95">
        <v>67.778000000000006</v>
      </c>
      <c r="D25" s="96">
        <v>73.079399999999993</v>
      </c>
      <c r="E25" s="95">
        <v>65.172499999999985</v>
      </c>
      <c r="F25" s="96">
        <v>71.517400000000009</v>
      </c>
      <c r="G25" s="95">
        <v>69.368000000000009</v>
      </c>
      <c r="H25" s="96">
        <v>74.897799999999989</v>
      </c>
      <c r="I25" s="95">
        <v>63.422499999999999</v>
      </c>
      <c r="J25" s="96">
        <v>71.164200000000008</v>
      </c>
      <c r="L25" s="94" t="s">
        <v>67</v>
      </c>
      <c r="M25" s="131"/>
      <c r="N25" s="96">
        <f t="shared" ref="N25:U25" si="2">MAX(C23:C24)-C25</f>
        <v>1.8459999999999894</v>
      </c>
      <c r="O25" s="96">
        <f t="shared" si="2"/>
        <v>0.40460000000000207</v>
      </c>
      <c r="P25" s="96">
        <f t="shared" si="2"/>
        <v>3.9475000000000051</v>
      </c>
      <c r="Q25" s="96">
        <f t="shared" si="2"/>
        <v>1.4005999999999972</v>
      </c>
      <c r="R25" s="96">
        <f t="shared" si="2"/>
        <v>2.8639999999999901</v>
      </c>
      <c r="S25" s="96">
        <f t="shared" si="2"/>
        <v>0.80819999999999936</v>
      </c>
      <c r="T25" s="96">
        <f t="shared" si="2"/>
        <v>3.6694999999999993</v>
      </c>
      <c r="U25" s="96">
        <f t="shared" si="2"/>
        <v>1.1337999999999795</v>
      </c>
    </row>
    <row r="26" spans="1:21" x14ac:dyDescent="0.2">
      <c r="E26" s="84">
        <f>E24-E25</f>
        <v>3.9475000000000051</v>
      </c>
    </row>
    <row r="27" spans="1:21" x14ac:dyDescent="0.2">
      <c r="E27">
        <f>(E24-E25)/E24</f>
        <v>5.7110821759259342E-2</v>
      </c>
      <c r="F27" s="84">
        <f>F24-F25</f>
        <v>1.4005999999999972</v>
      </c>
    </row>
    <row r="28" spans="1:21" x14ac:dyDescent="0.2">
      <c r="O28" s="84">
        <f>AVERAGE(N19,N22,N25,P19,P22,P25)</f>
        <v>1.5674166666666665</v>
      </c>
      <c r="P28" s="84">
        <f>AVERAGE(O19,O22,O25,Q19,Q22,Q25)</f>
        <v>0.70346666666667323</v>
      </c>
      <c r="R28" s="84">
        <f>AVERAGE(R25,T19,T22,R19,R22,T25)</f>
        <v>1.4243333333333297</v>
      </c>
      <c r="S28" s="84">
        <f>AVERAGE(S25,U19,U22,S19,S22,U25)</f>
        <v>0.6279666666666609</v>
      </c>
    </row>
    <row r="29" spans="1:21" x14ac:dyDescent="0.2">
      <c r="E29" s="84">
        <f>E17-E19</f>
        <v>0.40349999999999397</v>
      </c>
    </row>
  </sheetData>
  <mergeCells count="22">
    <mergeCell ref="M17:M19"/>
    <mergeCell ref="M20:M22"/>
    <mergeCell ref="M23:M25"/>
    <mergeCell ref="L14:L16"/>
    <mergeCell ref="M14:M16"/>
    <mergeCell ref="N14:Q14"/>
    <mergeCell ref="R14:U14"/>
    <mergeCell ref="N15:O15"/>
    <mergeCell ref="P15:Q15"/>
    <mergeCell ref="R15:S15"/>
    <mergeCell ref="T15:U15"/>
    <mergeCell ref="G14:J14"/>
    <mergeCell ref="B23:B25"/>
    <mergeCell ref="A14:A16"/>
    <mergeCell ref="G15:H15"/>
    <mergeCell ref="I15:J15"/>
    <mergeCell ref="B14:B16"/>
    <mergeCell ref="B17:B19"/>
    <mergeCell ref="B20:B22"/>
    <mergeCell ref="C15:D15"/>
    <mergeCell ref="E15:F15"/>
    <mergeCell ref="C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2F7D-BFA4-4202-83F1-093241A217F4}">
  <dimension ref="A1:AG83"/>
  <sheetViews>
    <sheetView topLeftCell="A60" workbookViewId="0">
      <selection activeCell="I76" sqref="I76"/>
    </sheetView>
  </sheetViews>
  <sheetFormatPr baseColWidth="10" defaultColWidth="8.83203125" defaultRowHeight="15" x14ac:dyDescent="0.2"/>
  <cols>
    <col min="1" max="1" width="13.5" customWidth="1"/>
    <col min="2" max="2" width="23.5" customWidth="1"/>
    <col min="5" max="5" width="10.5" bestFit="1" customWidth="1"/>
    <col min="7" max="7" width="16.5" customWidth="1"/>
    <col min="10" max="10" width="10" bestFit="1" customWidth="1"/>
    <col min="11" max="13" width="9.33203125" bestFit="1" customWidth="1"/>
    <col min="18" max="18" width="10.83203125" customWidth="1"/>
    <col min="19" max="19" width="9.33203125" bestFit="1" customWidth="1"/>
  </cols>
  <sheetData>
    <row r="1" spans="1:33" x14ac:dyDescent="0.2">
      <c r="A1" s="21"/>
      <c r="B1" s="21"/>
      <c r="C1" s="21"/>
      <c r="D1" s="21"/>
      <c r="E1" s="21" t="s">
        <v>79</v>
      </c>
      <c r="F1" s="21" t="s">
        <v>80</v>
      </c>
      <c r="G1" s="21"/>
      <c r="H1" s="21"/>
      <c r="I1" s="21"/>
      <c r="J1" s="21"/>
      <c r="K1" s="21"/>
    </row>
    <row r="2" spans="1:33" x14ac:dyDescent="0.2">
      <c r="A2" s="21"/>
      <c r="B2" s="21" t="s">
        <v>81</v>
      </c>
      <c r="C2" s="21" t="s">
        <v>82</v>
      </c>
      <c r="D2" s="21" t="s">
        <v>83</v>
      </c>
      <c r="E2" s="21" t="s">
        <v>84</v>
      </c>
      <c r="F2" s="21" t="s">
        <v>85</v>
      </c>
      <c r="G2" s="21"/>
      <c r="H2" s="21"/>
      <c r="I2" s="21"/>
      <c r="J2" s="21"/>
      <c r="K2" s="21"/>
    </row>
    <row r="3" spans="1:33" x14ac:dyDescent="0.2">
      <c r="A3" s="21"/>
      <c r="B3" s="21"/>
      <c r="C3" s="21" t="s">
        <v>86</v>
      </c>
      <c r="D3" s="21" t="s">
        <v>87</v>
      </c>
      <c r="E3" s="21" t="s">
        <v>88</v>
      </c>
      <c r="F3" s="21" t="s">
        <v>89</v>
      </c>
      <c r="G3" s="21"/>
      <c r="H3" s="21"/>
      <c r="I3" s="21"/>
      <c r="J3" s="21"/>
      <c r="K3" s="21"/>
      <c r="AA3" t="s">
        <v>90</v>
      </c>
      <c r="AG3" t="s">
        <v>91</v>
      </c>
    </row>
    <row r="4" spans="1:33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33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33" x14ac:dyDescent="0.2">
      <c r="A6" s="66" t="s">
        <v>92</v>
      </c>
      <c r="B6" s="21" t="s">
        <v>93</v>
      </c>
      <c r="C6" s="21"/>
      <c r="D6" s="21"/>
      <c r="E6" s="21"/>
      <c r="F6" s="21"/>
      <c r="G6" s="21"/>
      <c r="H6" s="21"/>
      <c r="I6" s="21"/>
      <c r="J6" s="21"/>
      <c r="K6" s="21"/>
    </row>
    <row r="7" spans="1:33" x14ac:dyDescent="0.2">
      <c r="A7" s="66" t="s">
        <v>94</v>
      </c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33" x14ac:dyDescent="0.2">
      <c r="B8" s="67" t="s">
        <v>95</v>
      </c>
      <c r="C8" s="67" t="s">
        <v>96</v>
      </c>
      <c r="D8" s="21"/>
      <c r="E8" s="21"/>
      <c r="F8" s="21"/>
      <c r="G8" s="21"/>
      <c r="H8" s="21"/>
      <c r="I8" s="21"/>
      <c r="J8" s="21"/>
      <c r="K8" s="21"/>
    </row>
    <row r="9" spans="1:33" x14ac:dyDescent="0.2">
      <c r="A9" s="21"/>
      <c r="B9" s="21" t="s">
        <v>3</v>
      </c>
      <c r="C9" s="21">
        <v>8</v>
      </c>
      <c r="D9" s="21">
        <v>16</v>
      </c>
      <c r="E9" s="21">
        <v>32</v>
      </c>
      <c r="F9" s="21">
        <v>64</v>
      </c>
      <c r="G9" s="21">
        <v>128</v>
      </c>
      <c r="H9" s="21"/>
      <c r="I9" s="21"/>
      <c r="J9" s="21"/>
      <c r="K9" s="21"/>
    </row>
    <row r="10" spans="1:33" x14ac:dyDescent="0.2">
      <c r="A10" s="21"/>
      <c r="B10" s="21" t="s">
        <v>97</v>
      </c>
      <c r="C10" s="21">
        <f>C9*(C9-1)*21/4</f>
        <v>294</v>
      </c>
      <c r="D10" s="21">
        <f t="shared" ref="D10:G10" si="0">D9*(D9-1)*21/4</f>
        <v>1260</v>
      </c>
      <c r="E10" s="21">
        <f t="shared" si="0"/>
        <v>5208</v>
      </c>
      <c r="F10" s="21">
        <f t="shared" si="0"/>
        <v>21168</v>
      </c>
      <c r="G10" s="21">
        <f t="shared" si="0"/>
        <v>85344</v>
      </c>
      <c r="H10" s="21"/>
      <c r="I10" s="21"/>
      <c r="J10" s="21"/>
      <c r="K10" s="21"/>
    </row>
    <row r="11" spans="1:33" x14ac:dyDescent="0.2">
      <c r="A11" s="21"/>
      <c r="B11" s="21" t="s">
        <v>98</v>
      </c>
      <c r="C11" s="21">
        <f>21*(C9^2+10*C9-32)/16</f>
        <v>147</v>
      </c>
      <c r="D11" s="21">
        <f>21*(D9^2+10*D9-32)/16</f>
        <v>504</v>
      </c>
      <c r="E11" s="21">
        <f>21*(E9^2+10*E9-32)/16</f>
        <v>1722</v>
      </c>
      <c r="F11" s="21">
        <f>21*(F9^2+10*F9-32)/16</f>
        <v>6174</v>
      </c>
      <c r="G11" s="21">
        <f>21*(G9^2+10*G9-32)/16</f>
        <v>23142</v>
      </c>
      <c r="H11" s="21"/>
      <c r="I11" s="21"/>
      <c r="J11" s="21"/>
      <c r="K11" s="21"/>
    </row>
    <row r="12" spans="1:33" x14ac:dyDescent="0.2">
      <c r="A12" s="21"/>
      <c r="H12" s="21"/>
      <c r="I12" s="21"/>
      <c r="J12" s="21"/>
      <c r="K12" s="21"/>
    </row>
    <row r="13" spans="1:33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33" x14ac:dyDescent="0.2">
      <c r="A14" s="21"/>
      <c r="B14" s="67" t="s">
        <v>95</v>
      </c>
      <c r="C14" s="67" t="s">
        <v>99</v>
      </c>
      <c r="D14" s="21"/>
      <c r="E14" s="21"/>
      <c r="F14" s="21"/>
      <c r="G14" s="21"/>
      <c r="H14" s="21"/>
      <c r="I14" s="21"/>
      <c r="J14" s="21"/>
      <c r="K14" s="21"/>
    </row>
    <row r="15" spans="1:33" x14ac:dyDescent="0.2">
      <c r="A15" s="21"/>
      <c r="B15" s="21" t="s">
        <v>3</v>
      </c>
      <c r="C15" s="21">
        <v>8</v>
      </c>
      <c r="D15" s="21">
        <v>16</v>
      </c>
      <c r="E15" s="21">
        <v>32</v>
      </c>
      <c r="F15" s="21">
        <v>64</v>
      </c>
      <c r="G15" s="21">
        <v>128</v>
      </c>
      <c r="H15" s="21"/>
      <c r="I15" s="21"/>
      <c r="J15" s="21"/>
      <c r="K15" s="21"/>
    </row>
    <row r="16" spans="1:33" x14ac:dyDescent="0.2">
      <c r="A16" s="21"/>
      <c r="B16" s="21" t="s">
        <v>97</v>
      </c>
      <c r="C16" s="21">
        <f>C15*(C15-1)*1.42/4</f>
        <v>19.88</v>
      </c>
      <c r="D16" s="21">
        <f t="shared" ref="D16:G16" si="1">D15*(D15-1)*1.42/4</f>
        <v>85.199999999999989</v>
      </c>
      <c r="E16" s="21">
        <f t="shared" si="1"/>
        <v>352.15999999999997</v>
      </c>
      <c r="F16" s="21">
        <f t="shared" si="1"/>
        <v>1431.36</v>
      </c>
      <c r="G16" s="21">
        <f t="shared" si="1"/>
        <v>5770.88</v>
      </c>
      <c r="H16" s="21"/>
      <c r="I16" s="21"/>
      <c r="J16" s="21"/>
      <c r="K16" s="21"/>
    </row>
    <row r="17" spans="1:33" x14ac:dyDescent="0.2">
      <c r="A17" s="21"/>
      <c r="B17" s="21" t="s">
        <v>98</v>
      </c>
      <c r="C17" s="21">
        <f>1.42*(C15^2+10*C15-32)/16</f>
        <v>9.94</v>
      </c>
      <c r="D17" s="21">
        <f t="shared" ref="D17:G17" si="2">1.42*(D15^2+10*D15-32)/16</f>
        <v>34.08</v>
      </c>
      <c r="E17" s="21">
        <f t="shared" si="2"/>
        <v>116.44</v>
      </c>
      <c r="F17" s="21">
        <f t="shared" si="2"/>
        <v>417.47999999999996</v>
      </c>
      <c r="G17" s="21">
        <f t="shared" si="2"/>
        <v>1564.84</v>
      </c>
      <c r="H17" s="21"/>
      <c r="I17" s="21"/>
      <c r="J17" s="21"/>
      <c r="K17" s="21"/>
    </row>
    <row r="18" spans="1:33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33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AA19" t="s">
        <v>100</v>
      </c>
      <c r="AG19" t="s">
        <v>100</v>
      </c>
    </row>
    <row r="20" spans="1:33" x14ac:dyDescent="0.2">
      <c r="A20" s="73" t="s">
        <v>101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4"/>
      <c r="M20" s="74"/>
    </row>
    <row r="21" spans="1:33" x14ac:dyDescent="0.2">
      <c r="A21" s="120" t="s">
        <v>3</v>
      </c>
      <c r="B21" s="120" t="s">
        <v>72</v>
      </c>
      <c r="C21" s="120" t="s">
        <v>102</v>
      </c>
      <c r="D21" s="120" t="s">
        <v>103</v>
      </c>
      <c r="E21" s="120" t="s">
        <v>104</v>
      </c>
      <c r="F21" s="120"/>
      <c r="G21" s="142" t="s">
        <v>105</v>
      </c>
      <c r="H21" s="132" t="s">
        <v>106</v>
      </c>
      <c r="I21" s="132"/>
      <c r="J21" s="120" t="s">
        <v>107</v>
      </c>
      <c r="K21" s="140" t="s">
        <v>108</v>
      </c>
      <c r="L21" s="120" t="s">
        <v>109</v>
      </c>
      <c r="M21" s="120"/>
      <c r="N21" s="21"/>
      <c r="O21" s="21"/>
      <c r="P21" s="21"/>
      <c r="Q21" s="21"/>
    </row>
    <row r="22" spans="1:33" x14ac:dyDescent="0.2">
      <c r="A22" s="121"/>
      <c r="B22" s="121"/>
      <c r="C22" s="121"/>
      <c r="D22" s="121"/>
      <c r="E22" s="3" t="s">
        <v>110</v>
      </c>
      <c r="F22" s="3" t="s">
        <v>111</v>
      </c>
      <c r="G22" s="134"/>
      <c r="H22" s="44" t="s">
        <v>112</v>
      </c>
      <c r="I22" s="44" t="s">
        <v>113</v>
      </c>
      <c r="J22" s="121"/>
      <c r="K22" s="137"/>
      <c r="L22" s="3" t="s">
        <v>114</v>
      </c>
      <c r="M22" s="44" t="s">
        <v>115</v>
      </c>
      <c r="N22" s="21"/>
      <c r="O22" s="21"/>
      <c r="P22" s="21"/>
      <c r="Q22" s="21"/>
    </row>
    <row r="23" spans="1:33" x14ac:dyDescent="0.2">
      <c r="A23" s="123">
        <v>8</v>
      </c>
      <c r="B23" s="1" t="s">
        <v>47</v>
      </c>
      <c r="C23" s="1">
        <v>100</v>
      </c>
      <c r="D23" s="1">
        <f t="shared" ref="D23:D28" si="3">2.5+12.5+34.4+13.49</f>
        <v>62.89</v>
      </c>
      <c r="E23" s="1">
        <f>144*(A23+A23*(A23-1)/2)/(2^6)</f>
        <v>81</v>
      </c>
      <c r="F23" s="1">
        <f>0.63*(A23+A23*(A23-1)/2)</f>
        <v>22.68</v>
      </c>
      <c r="G23" s="1">
        <f>A23*0.05</f>
        <v>0.4</v>
      </c>
      <c r="H23" s="21">
        <v>294</v>
      </c>
      <c r="I23" s="21">
        <v>19.88</v>
      </c>
      <c r="J23" s="21">
        <v>200</v>
      </c>
      <c r="K23" s="22">
        <v>0.32500000000000001</v>
      </c>
      <c r="L23" s="69">
        <f>C23+D23+F23+G23+I23+J23+K23</f>
        <v>406.17500000000001</v>
      </c>
      <c r="M23" s="69">
        <f>SUM(C23:D23,E23,G23:H23,J23:K23)</f>
        <v>738.61500000000001</v>
      </c>
      <c r="N23" s="21"/>
      <c r="O23" s="21"/>
      <c r="P23" s="21">
        <f t="shared" ref="P23:P28" si="4">H23/M23</f>
        <v>0.39804228183830548</v>
      </c>
      <c r="Q23" s="21"/>
    </row>
    <row r="24" spans="1:33" x14ac:dyDescent="0.2">
      <c r="A24" s="123"/>
      <c r="B24" s="1" t="s">
        <v>66</v>
      </c>
      <c r="C24" s="1">
        <v>100</v>
      </c>
      <c r="D24" s="1">
        <f t="shared" si="3"/>
        <v>62.89</v>
      </c>
      <c r="E24" s="1">
        <f>144*(A23+A23*(A23-1)/2)/(2^6)</f>
        <v>81</v>
      </c>
      <c r="F24" s="1">
        <f>0.63*(A23+A23*(A23-1)/2)</f>
        <v>22.68</v>
      </c>
      <c r="G24" s="1">
        <f>A23*0.05</f>
        <v>0.4</v>
      </c>
      <c r="H24" s="21">
        <v>294</v>
      </c>
      <c r="I24" s="21">
        <v>19.88</v>
      </c>
      <c r="J24" s="21">
        <v>200</v>
      </c>
      <c r="K24" s="22">
        <v>0.32500000000000001</v>
      </c>
      <c r="L24" s="69">
        <f t="shared" ref="L24:L25" si="5">C24+D24+F24+G24+I24+J24+K24</f>
        <v>406.17500000000001</v>
      </c>
      <c r="M24" s="69">
        <f t="shared" ref="M24:M25" si="6">SUM(C24:D24,E24,G24:H24,J24:K24)</f>
        <v>738.61500000000001</v>
      </c>
      <c r="N24" s="21"/>
      <c r="O24" s="21"/>
      <c r="P24" s="21">
        <f t="shared" si="4"/>
        <v>0.39804228183830548</v>
      </c>
      <c r="Q24" s="21"/>
    </row>
    <row r="25" spans="1:33" x14ac:dyDescent="0.2">
      <c r="A25" s="138"/>
      <c r="B25" s="26" t="s">
        <v>98</v>
      </c>
      <c r="C25" s="26">
        <v>100</v>
      </c>
      <c r="D25" s="26">
        <f t="shared" si="3"/>
        <v>62.89</v>
      </c>
      <c r="E25" s="26">
        <f>144*(A23+(A23^2+10*A23-32)/8)/(2^6)</f>
        <v>49.5</v>
      </c>
      <c r="F25" s="26">
        <f>0.63*(A23+(A23^2+10*A23-32)/8)</f>
        <v>13.86</v>
      </c>
      <c r="G25" s="26">
        <f>A23*0.05</f>
        <v>0.4</v>
      </c>
      <c r="H25" s="70">
        <v>147</v>
      </c>
      <c r="I25" s="70">
        <v>9.94</v>
      </c>
      <c r="J25" s="70">
        <v>200</v>
      </c>
      <c r="K25" s="71">
        <v>0.32500000000000001</v>
      </c>
      <c r="L25" s="72">
        <f t="shared" si="5"/>
        <v>387.41500000000002</v>
      </c>
      <c r="M25" s="72">
        <f t="shared" si="6"/>
        <v>560.11500000000001</v>
      </c>
      <c r="N25" s="21">
        <f>(L23-L25)/L23</f>
        <v>4.6186988367083133E-2</v>
      </c>
      <c r="O25" s="21">
        <f>(M23-M25)/M23</f>
        <v>0.24166852825897117</v>
      </c>
      <c r="P25" s="21">
        <f t="shared" si="4"/>
        <v>0.26244610481776065</v>
      </c>
      <c r="Q25" s="21"/>
    </row>
    <row r="26" spans="1:33" x14ac:dyDescent="0.2">
      <c r="A26" s="123">
        <v>16</v>
      </c>
      <c r="B26" s="1" t="s">
        <v>47</v>
      </c>
      <c r="C26" s="1">
        <v>100</v>
      </c>
      <c r="D26" s="1">
        <f t="shared" si="3"/>
        <v>62.89</v>
      </c>
      <c r="E26" s="1">
        <f>144*(A26+A26*(A26-1)/2)/(2^6)</f>
        <v>306</v>
      </c>
      <c r="F26" s="1">
        <f>0.63*(A26+A26*(A26-1)/2)</f>
        <v>85.68</v>
      </c>
      <c r="G26" s="1">
        <f>A26*0.05</f>
        <v>0.8</v>
      </c>
      <c r="H26" s="21">
        <v>1260</v>
      </c>
      <c r="I26" s="21">
        <v>85.199999999999989</v>
      </c>
      <c r="J26" s="21">
        <v>200</v>
      </c>
      <c r="K26" s="22">
        <v>0.32500000000000001</v>
      </c>
      <c r="L26" s="69">
        <f>C26+D26+F26+G26+I26+J26+K26</f>
        <v>534.89499999999998</v>
      </c>
      <c r="M26" s="69">
        <f>SUM(C26:D26,E26,G26:H26,J26:K26)</f>
        <v>1930.0150000000001</v>
      </c>
      <c r="P26" s="21">
        <f t="shared" si="4"/>
        <v>0.65284466701036004</v>
      </c>
    </row>
    <row r="27" spans="1:33" x14ac:dyDescent="0.2">
      <c r="A27" s="123"/>
      <c r="B27" s="1" t="s">
        <v>66</v>
      </c>
      <c r="C27" s="1">
        <v>100</v>
      </c>
      <c r="D27" s="1">
        <f t="shared" si="3"/>
        <v>62.89</v>
      </c>
      <c r="E27" s="1">
        <f>144*(A26+A26*(A26-1)/2)/(2^6)</f>
        <v>306</v>
      </c>
      <c r="F27" s="1">
        <f>0.63*(A26+A26*(A26-1)/2)</f>
        <v>85.68</v>
      </c>
      <c r="G27" s="1">
        <f>A26*0.05</f>
        <v>0.8</v>
      </c>
      <c r="H27" s="21">
        <v>1260</v>
      </c>
      <c r="I27" s="21">
        <v>85.199999999999989</v>
      </c>
      <c r="J27" s="21">
        <v>200</v>
      </c>
      <c r="K27" s="22">
        <v>0.32500000000000001</v>
      </c>
      <c r="L27" s="69">
        <f t="shared" ref="L27:L28" si="7">C27+D27+F27+G27+I27+J27+K27</f>
        <v>534.89499999999998</v>
      </c>
      <c r="M27" s="69">
        <f t="shared" ref="M27:M28" si="8">SUM(C27:D27,E27,G27:H27,J27:K27)</f>
        <v>1930.0150000000001</v>
      </c>
      <c r="P27" s="21">
        <f t="shared" si="4"/>
        <v>0.65284466701036004</v>
      </c>
    </row>
    <row r="28" spans="1:33" x14ac:dyDescent="0.2">
      <c r="A28" s="138"/>
      <c r="B28" s="26" t="s">
        <v>98</v>
      </c>
      <c r="C28" s="26">
        <v>100</v>
      </c>
      <c r="D28" s="26">
        <f t="shared" si="3"/>
        <v>62.89</v>
      </c>
      <c r="E28" s="26">
        <f>144*(A26+(A26^2+10*A26-32)/8)/(2^6)</f>
        <v>144</v>
      </c>
      <c r="F28" s="26">
        <f>0.63*(A26+(A26^2+10*A26-32)/8)</f>
        <v>40.32</v>
      </c>
      <c r="G28" s="26">
        <f>A26*0.05</f>
        <v>0.8</v>
      </c>
      <c r="H28" s="70">
        <v>504</v>
      </c>
      <c r="I28" s="70">
        <v>34.08</v>
      </c>
      <c r="J28" s="70">
        <v>200</v>
      </c>
      <c r="K28" s="71">
        <v>0.32500000000000001</v>
      </c>
      <c r="L28" s="72">
        <f t="shared" si="7"/>
        <v>438.41499999999996</v>
      </c>
      <c r="M28" s="72">
        <f t="shared" si="8"/>
        <v>1012.0150000000001</v>
      </c>
      <c r="N28" s="21">
        <f>(L26-L28)/L26</f>
        <v>0.1803718486805822</v>
      </c>
      <c r="O28" s="21">
        <f>(M26-M28)/M26</f>
        <v>0.47564397167897654</v>
      </c>
      <c r="P28" s="21">
        <f t="shared" si="4"/>
        <v>0.49801633374999377</v>
      </c>
    </row>
    <row r="29" spans="1:33" x14ac:dyDescent="0.2">
      <c r="A29" s="1"/>
      <c r="B29" s="1"/>
      <c r="C29" s="1"/>
      <c r="D29" s="1"/>
      <c r="E29" s="1"/>
      <c r="F29" s="1"/>
      <c r="G29" s="68"/>
    </row>
    <row r="30" spans="1:33" x14ac:dyDescent="0.2">
      <c r="A30" s="1"/>
      <c r="B30" s="1"/>
      <c r="C30" s="1"/>
      <c r="D30" s="1"/>
      <c r="E30" s="1"/>
      <c r="F30" s="1"/>
      <c r="G30" s="68"/>
    </row>
    <row r="31" spans="1:33" x14ac:dyDescent="0.2">
      <c r="A31" s="73" t="s">
        <v>116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4"/>
      <c r="M31" s="74"/>
      <c r="N31" s="74"/>
    </row>
    <row r="32" spans="1:33" x14ac:dyDescent="0.2">
      <c r="A32" s="120" t="s">
        <v>3</v>
      </c>
      <c r="B32" s="120" t="s">
        <v>72</v>
      </c>
      <c r="C32" s="120" t="s">
        <v>117</v>
      </c>
      <c r="D32" s="120"/>
      <c r="E32" s="120" t="s">
        <v>118</v>
      </c>
      <c r="F32" s="120"/>
      <c r="G32" s="142" t="s">
        <v>119</v>
      </c>
      <c r="H32" s="132" t="s">
        <v>120</v>
      </c>
      <c r="I32" s="132"/>
      <c r="J32" s="120" t="s">
        <v>121</v>
      </c>
      <c r="K32" s="120" t="s">
        <v>122</v>
      </c>
      <c r="L32" s="140" t="s">
        <v>123</v>
      </c>
      <c r="M32" s="120" t="s">
        <v>124</v>
      </c>
      <c r="N32" s="120"/>
      <c r="R32" s="21" t="s">
        <v>125</v>
      </c>
      <c r="S32" s="78">
        <v>300000000</v>
      </c>
    </row>
    <row r="33" spans="1:21" x14ac:dyDescent="0.2">
      <c r="A33" s="121"/>
      <c r="B33" s="121"/>
      <c r="C33" s="3" t="s">
        <v>82</v>
      </c>
      <c r="D33" s="3" t="s">
        <v>86</v>
      </c>
      <c r="E33" s="3" t="s">
        <v>110</v>
      </c>
      <c r="F33" s="3" t="s">
        <v>111</v>
      </c>
      <c r="G33" s="134"/>
      <c r="H33" s="44" t="s">
        <v>112</v>
      </c>
      <c r="I33" s="44" t="s">
        <v>113</v>
      </c>
      <c r="J33" s="121"/>
      <c r="K33" s="121"/>
      <c r="L33" s="137"/>
      <c r="M33" s="3" t="s">
        <v>114</v>
      </c>
      <c r="N33" s="44" t="s">
        <v>115</v>
      </c>
      <c r="R33" s="67" t="s">
        <v>126</v>
      </c>
      <c r="S33" s="67">
        <v>2.8</v>
      </c>
    </row>
    <row r="34" spans="1:21" x14ac:dyDescent="0.2">
      <c r="A34" s="123">
        <v>8</v>
      </c>
      <c r="B34" s="1" t="s">
        <v>47</v>
      </c>
      <c r="C34" s="75">
        <f>A34*0.00059</f>
        <v>4.7200000000000002E-3</v>
      </c>
      <c r="D34" s="75">
        <f>(A34*(A34-1))*0.000386</f>
        <v>2.1616E-2</v>
      </c>
      <c r="E34" s="75">
        <v>0.01</v>
      </c>
      <c r="F34" s="1">
        <v>3</v>
      </c>
      <c r="G34" s="75">
        <f>A34*1000000/(2500000000)</f>
        <v>3.2000000000000002E-3</v>
      </c>
      <c r="H34" s="21">
        <f>30</f>
        <v>30</v>
      </c>
      <c r="I34" s="21">
        <v>151</v>
      </c>
      <c r="J34" s="77">
        <f>S35*A34</f>
        <v>2.2399999999999999E-5</v>
      </c>
      <c r="K34" s="21">
        <f t="shared" ref="K34:K39" si="9">0.0001</f>
        <v>1E-4</v>
      </c>
      <c r="L34" s="22">
        <f t="shared" ref="L34:L39" si="10">0.075</f>
        <v>7.4999999999999997E-2</v>
      </c>
      <c r="M34" s="69">
        <f>MAX(C34+E34+G34,D34+E34+H34)+J34+K34+L34</f>
        <v>30.106738399999998</v>
      </c>
      <c r="N34" s="69">
        <f>MAX(C34+F34+G34,D34+F34+I34)+SUM(J34:L34)</f>
        <v>154.09673839999999</v>
      </c>
      <c r="R34" s="21" t="s">
        <v>127</v>
      </c>
      <c r="S34" s="78">
        <f>S32/S33</f>
        <v>107142857.14285715</v>
      </c>
    </row>
    <row r="35" spans="1:21" x14ac:dyDescent="0.2">
      <c r="A35" s="123"/>
      <c r="B35" s="1" t="s">
        <v>66</v>
      </c>
      <c r="C35" s="75">
        <f>A34*0.00059</f>
        <v>4.7200000000000002E-3</v>
      </c>
      <c r="D35" s="75">
        <f>(A34*(A34-1))*0.000386</f>
        <v>2.1616E-2</v>
      </c>
      <c r="E35" s="75">
        <v>0.01</v>
      </c>
      <c r="F35" s="1">
        <v>3</v>
      </c>
      <c r="G35" s="75">
        <f>A34*1000000/(2500000000)</f>
        <v>3.2000000000000002E-3</v>
      </c>
      <c r="H35" s="21">
        <v>30</v>
      </c>
      <c r="I35" s="21">
        <v>151</v>
      </c>
      <c r="J35" s="77">
        <f>S35*(2*A34-3)</f>
        <v>3.6399999999999997E-5</v>
      </c>
      <c r="K35" s="21">
        <f t="shared" si="9"/>
        <v>1E-4</v>
      </c>
      <c r="L35" s="22">
        <f t="shared" si="10"/>
        <v>7.4999999999999997E-2</v>
      </c>
      <c r="M35" s="69">
        <f t="shared" ref="M35:M36" si="11">MAX(C35+E35+G35,D35+E35+H35)+J35+K35+L35</f>
        <v>30.106752399999998</v>
      </c>
      <c r="N35" s="69">
        <f t="shared" ref="N35:N36" si="12">MAX(C35+F35+G35,D35+F35+I35)+SUM(J35:L35)</f>
        <v>154.09675239999999</v>
      </c>
      <c r="R35" s="21" t="s">
        <v>128</v>
      </c>
      <c r="S35" s="78">
        <f>300/S34</f>
        <v>2.7999999999999999E-6</v>
      </c>
    </row>
    <row r="36" spans="1:21" x14ac:dyDescent="0.2">
      <c r="A36" s="138"/>
      <c r="B36" s="26" t="s">
        <v>98</v>
      </c>
      <c r="C36" s="76">
        <f>A34*0.00059</f>
        <v>4.7200000000000002E-3</v>
      </c>
      <c r="D36" s="76">
        <f>(A34^2+10*A34-32)*0.000386/4</f>
        <v>1.0808E-2</v>
      </c>
      <c r="E36" s="76">
        <v>0.01</v>
      </c>
      <c r="F36" s="26">
        <v>3</v>
      </c>
      <c r="G36" s="76">
        <f>A34*1000000/(2500000000)</f>
        <v>3.2000000000000002E-3</v>
      </c>
      <c r="H36" s="70">
        <v>30</v>
      </c>
      <c r="I36" s="70">
        <v>151</v>
      </c>
      <c r="J36" s="79">
        <f>S35*(1+A34/2)</f>
        <v>1.4E-5</v>
      </c>
      <c r="K36" s="70">
        <f t="shared" si="9"/>
        <v>1E-4</v>
      </c>
      <c r="L36" s="71">
        <f t="shared" si="10"/>
        <v>7.4999999999999997E-2</v>
      </c>
      <c r="M36" s="72">
        <f t="shared" si="11"/>
        <v>30.095921999999998</v>
      </c>
      <c r="N36" s="72">
        <f t="shared" si="12"/>
        <v>154.08592200000001</v>
      </c>
      <c r="O36">
        <f>H36/M36</f>
        <v>0.99681279078275131</v>
      </c>
      <c r="R36" s="21"/>
      <c r="S36" s="21"/>
    </row>
    <row r="37" spans="1:21" x14ac:dyDescent="0.2">
      <c r="A37" s="123">
        <v>16</v>
      </c>
      <c r="B37" s="1" t="s">
        <v>47</v>
      </c>
      <c r="C37" s="75">
        <f>A37*0.00059</f>
        <v>9.4400000000000005E-3</v>
      </c>
      <c r="D37" s="75">
        <f>(A37*(A37-1))*0.000386</f>
        <v>9.264E-2</v>
      </c>
      <c r="E37" s="75">
        <v>0.01</v>
      </c>
      <c r="F37" s="1">
        <v>3</v>
      </c>
      <c r="G37" s="75">
        <v>3.2000000000000002E-3</v>
      </c>
      <c r="H37" s="21">
        <v>30</v>
      </c>
      <c r="I37" s="21">
        <v>151</v>
      </c>
      <c r="J37" s="77">
        <f>S35*A37</f>
        <v>4.4799999999999998E-5</v>
      </c>
      <c r="K37" s="21">
        <f t="shared" si="9"/>
        <v>1E-4</v>
      </c>
      <c r="L37" s="22">
        <f t="shared" si="10"/>
        <v>7.4999999999999997E-2</v>
      </c>
      <c r="M37" s="69">
        <f>MAX(C37+E37+G37,D37+E37+H37)+J37+K37+L37</f>
        <v>30.177784800000001</v>
      </c>
      <c r="N37" s="69">
        <f>MAX(C37+F37+G37,D37+F37+I37)+SUM(J37:L37)</f>
        <v>154.16778479999999</v>
      </c>
      <c r="R37" s="21"/>
      <c r="S37" s="21"/>
    </row>
    <row r="38" spans="1:21" x14ac:dyDescent="0.2">
      <c r="A38" s="123"/>
      <c r="B38" s="1" t="s">
        <v>66</v>
      </c>
      <c r="C38" s="75">
        <f>A37*0.00059</f>
        <v>9.4400000000000005E-3</v>
      </c>
      <c r="D38" s="75">
        <f>(A37*(A37-1))*0.000386</f>
        <v>9.264E-2</v>
      </c>
      <c r="E38" s="75">
        <v>0.01</v>
      </c>
      <c r="F38" s="1">
        <v>3</v>
      </c>
      <c r="G38" s="75">
        <v>3.2000000000000002E-3</v>
      </c>
      <c r="H38" s="21">
        <v>30</v>
      </c>
      <c r="I38" s="21">
        <v>151</v>
      </c>
      <c r="J38" s="77">
        <f>S35*(2*A37-3)</f>
        <v>8.1199999999999995E-5</v>
      </c>
      <c r="K38" s="21">
        <f t="shared" si="9"/>
        <v>1E-4</v>
      </c>
      <c r="L38" s="22">
        <f t="shared" si="10"/>
        <v>7.4999999999999997E-2</v>
      </c>
      <c r="M38" s="69">
        <f t="shared" ref="M38:M39" si="13">MAX(C38+E38+G38,D38+E38+H38)+J38+K38+L38</f>
        <v>30.1778212</v>
      </c>
      <c r="N38" s="69">
        <f t="shared" ref="N38:N39" si="14">MAX(C38+F38+G38,D38+F38+I38)+SUM(J38:L38)</f>
        <v>154.16782119999999</v>
      </c>
      <c r="R38" s="21"/>
      <c r="S38" s="21"/>
    </row>
    <row r="39" spans="1:21" x14ac:dyDescent="0.2">
      <c r="A39" s="138"/>
      <c r="B39" s="26" t="s">
        <v>98</v>
      </c>
      <c r="C39" s="76">
        <f>A37*0.00059</f>
        <v>9.4400000000000005E-3</v>
      </c>
      <c r="D39" s="76">
        <f>(A37^2+10*A37-32)*0.000386/4</f>
        <v>3.7055999999999999E-2</v>
      </c>
      <c r="E39" s="76">
        <v>0.01</v>
      </c>
      <c r="F39" s="26">
        <v>3</v>
      </c>
      <c r="G39" s="76">
        <v>3.2000000000000002E-3</v>
      </c>
      <c r="H39" s="70">
        <v>30</v>
      </c>
      <c r="I39" s="70">
        <v>151</v>
      </c>
      <c r="J39" s="79">
        <f>S35*(1+A37/2)</f>
        <v>2.5199999999999999E-5</v>
      </c>
      <c r="K39" s="70">
        <f t="shared" si="9"/>
        <v>1E-4</v>
      </c>
      <c r="L39" s="71">
        <f t="shared" si="10"/>
        <v>7.4999999999999997E-2</v>
      </c>
      <c r="M39" s="72">
        <f t="shared" si="13"/>
        <v>30.1221812</v>
      </c>
      <c r="N39" s="72">
        <f t="shared" si="14"/>
        <v>154.11218120000001</v>
      </c>
      <c r="R39" s="21"/>
      <c r="S39" s="21"/>
    </row>
    <row r="40" spans="1:21" x14ac:dyDescent="0.2">
      <c r="R40" s="21"/>
      <c r="S40" s="21"/>
    </row>
    <row r="41" spans="1:21" x14ac:dyDescent="0.2">
      <c r="A41" s="73" t="s">
        <v>129</v>
      </c>
      <c r="B41" s="74"/>
      <c r="C41" s="74"/>
      <c r="D41" s="74"/>
      <c r="E41" s="74"/>
      <c r="F41" s="74"/>
      <c r="G41" s="74"/>
      <c r="H41" s="74"/>
      <c r="I41" s="74"/>
      <c r="K41" s="88">
        <f>(D38-D39)+(J38-J39)</f>
        <v>5.5640000000000002E-2</v>
      </c>
    </row>
    <row r="43" spans="1:21" x14ac:dyDescent="0.2">
      <c r="A43" s="120" t="s">
        <v>3</v>
      </c>
      <c r="B43" s="120" t="s">
        <v>72</v>
      </c>
      <c r="C43" s="132" t="s">
        <v>130</v>
      </c>
      <c r="D43" s="132" t="s">
        <v>131</v>
      </c>
      <c r="E43" s="141" t="s">
        <v>129</v>
      </c>
      <c r="S43" t="s">
        <v>132</v>
      </c>
      <c r="T43" t="s">
        <v>132</v>
      </c>
      <c r="U43" t="s">
        <v>133</v>
      </c>
    </row>
    <row r="44" spans="1:21" x14ac:dyDescent="0.2">
      <c r="A44" s="121"/>
      <c r="B44" s="121"/>
      <c r="C44" s="134"/>
      <c r="D44" s="134"/>
      <c r="E44" s="141"/>
      <c r="G44" t="s">
        <v>134</v>
      </c>
      <c r="N44" s="21"/>
      <c r="R44" s="21" t="s">
        <v>135</v>
      </c>
      <c r="S44" s="21" t="s">
        <v>136</v>
      </c>
      <c r="T44" s="21" t="s">
        <v>137</v>
      </c>
      <c r="U44" s="21" t="s">
        <v>138</v>
      </c>
    </row>
    <row r="45" spans="1:21" x14ac:dyDescent="0.2">
      <c r="A45" s="122">
        <v>8</v>
      </c>
      <c r="B45" s="1" t="s">
        <v>47</v>
      </c>
      <c r="C45" s="21">
        <f>A45*(A45-1)</f>
        <v>56</v>
      </c>
      <c r="D45" s="21">
        <f>A45*(A45-1)</f>
        <v>56</v>
      </c>
      <c r="E45" s="21">
        <f>(A45*S51)*((A45-1)*T51)*0.000001</f>
        <v>1.008</v>
      </c>
      <c r="G45" t="s">
        <v>139</v>
      </c>
      <c r="R45" s="21" t="s">
        <v>140</v>
      </c>
      <c r="S45" s="21">
        <v>54.4</v>
      </c>
      <c r="T45" s="21">
        <v>40.299999999999997</v>
      </c>
      <c r="U45" s="21">
        <f>S45*T45</f>
        <v>2192.3199999999997</v>
      </c>
    </row>
    <row r="46" spans="1:21" x14ac:dyDescent="0.2">
      <c r="A46" s="123"/>
      <c r="B46" s="1" t="s">
        <v>66</v>
      </c>
      <c r="C46" s="21">
        <v>56</v>
      </c>
      <c r="D46" s="21">
        <v>56</v>
      </c>
      <c r="E46" s="21">
        <f>(A45*2-3)*S51*(A45-1)*T51*0.000001</f>
        <v>1.6379999999999999</v>
      </c>
      <c r="G46" t="s">
        <v>141</v>
      </c>
      <c r="R46" s="21" t="s">
        <v>142</v>
      </c>
      <c r="S46" s="21">
        <v>60.16</v>
      </c>
      <c r="T46" s="21">
        <v>0.5</v>
      </c>
      <c r="U46" s="21">
        <f t="shared" ref="U46:U48" si="15">S46*T46</f>
        <v>30.08</v>
      </c>
    </row>
    <row r="47" spans="1:21" x14ac:dyDescent="0.2">
      <c r="A47" s="123"/>
      <c r="B47" s="1" t="s">
        <v>98</v>
      </c>
      <c r="C47" s="21">
        <f>(A45^2+10*A45-32)/4</f>
        <v>28</v>
      </c>
      <c r="D47" s="21">
        <v>28</v>
      </c>
      <c r="E47" s="54">
        <f>(A45/2+1)*S51*T51*(A45-1)*0.000001</f>
        <v>0.63</v>
      </c>
      <c r="G47" t="s">
        <v>143</v>
      </c>
      <c r="R47" s="21" t="s">
        <v>144</v>
      </c>
      <c r="S47" s="21">
        <v>20</v>
      </c>
      <c r="T47" s="21">
        <v>3.65</v>
      </c>
      <c r="U47" s="21">
        <f t="shared" si="15"/>
        <v>73</v>
      </c>
    </row>
    <row r="48" spans="1:21" x14ac:dyDescent="0.2">
      <c r="A48" s="138"/>
      <c r="B48" s="70" t="s">
        <v>145</v>
      </c>
      <c r="C48" s="70">
        <f>(A45/2)*LOG(A45, 2)</f>
        <v>12</v>
      </c>
      <c r="D48" s="70">
        <f>A45*(LOG(A45,2)+1)</f>
        <v>32</v>
      </c>
      <c r="E48" s="54">
        <f>(C48*S53/(A45/2)+D48*S52/(A45)+S48)*(A45-1)*T51*0.000001</f>
        <v>0.24078179999999999</v>
      </c>
      <c r="G48" s="80" t="s">
        <v>146</v>
      </c>
      <c r="R48" s="21" t="s">
        <v>147</v>
      </c>
      <c r="S48" s="21">
        <v>5.9</v>
      </c>
      <c r="T48" s="21">
        <v>5.9</v>
      </c>
      <c r="U48" s="21">
        <f t="shared" si="15"/>
        <v>34.81</v>
      </c>
    </row>
    <row r="49" spans="1:21" x14ac:dyDescent="0.2">
      <c r="A49" s="139">
        <v>16</v>
      </c>
      <c r="B49" s="1" t="s">
        <v>47</v>
      </c>
      <c r="C49" s="21">
        <f>A49*(A49-1)</f>
        <v>240</v>
      </c>
      <c r="D49" s="21">
        <f>A49*(A49-1)</f>
        <v>240</v>
      </c>
      <c r="E49" s="21">
        <f>(A49*S51)*((A49-1)*T51)*0.000001</f>
        <v>4.3199999999999994</v>
      </c>
      <c r="R49" s="21"/>
      <c r="S49" s="21"/>
      <c r="T49" s="21"/>
      <c r="U49" s="21"/>
    </row>
    <row r="50" spans="1:21" x14ac:dyDescent="0.2">
      <c r="A50" s="123"/>
      <c r="B50" s="1" t="s">
        <v>66</v>
      </c>
      <c r="C50" s="21">
        <v>240</v>
      </c>
      <c r="D50" s="21">
        <v>240</v>
      </c>
      <c r="E50" s="21">
        <f>(2*A49-3)*S51*T51*(A49-1)*0.000001</f>
        <v>7.83</v>
      </c>
      <c r="R50" s="21"/>
      <c r="S50" s="21"/>
      <c r="T50" s="21"/>
      <c r="U50" s="21"/>
    </row>
    <row r="51" spans="1:21" x14ac:dyDescent="0.2">
      <c r="A51" s="123"/>
      <c r="B51" s="1" t="s">
        <v>98</v>
      </c>
      <c r="C51" s="21">
        <f>(A49^2+10*A49-32)/4</f>
        <v>96</v>
      </c>
      <c r="D51" s="21">
        <v>96</v>
      </c>
      <c r="E51" s="21">
        <f>(A49/2+1)*S51*T51*(A49-1)*0.000001</f>
        <v>2.4299999999999997</v>
      </c>
      <c r="F51">
        <f>(D50-D51)/D50</f>
        <v>0.6</v>
      </c>
      <c r="Q51" t="s">
        <v>148</v>
      </c>
      <c r="R51" s="21" t="s">
        <v>149</v>
      </c>
      <c r="S51" s="21">
        <v>300</v>
      </c>
      <c r="T51" s="21">
        <v>60</v>
      </c>
      <c r="U51" s="21"/>
    </row>
    <row r="52" spans="1:21" x14ac:dyDescent="0.2">
      <c r="A52" s="138"/>
      <c r="B52" s="70"/>
      <c r="C52" s="70"/>
      <c r="D52" s="70"/>
      <c r="E52" s="21"/>
      <c r="G52" t="s">
        <v>150</v>
      </c>
      <c r="R52" s="21" t="s">
        <v>142</v>
      </c>
      <c r="S52" s="21">
        <v>135</v>
      </c>
      <c r="T52" s="21"/>
      <c r="U52" s="21"/>
    </row>
    <row r="53" spans="1:21" x14ac:dyDescent="0.2">
      <c r="A53" s="139">
        <v>4</v>
      </c>
      <c r="B53" s="1" t="s">
        <v>47</v>
      </c>
      <c r="C53" s="21">
        <f>A53*(A53-1)</f>
        <v>12</v>
      </c>
      <c r="D53" s="21">
        <f>A53*(A53-1)</f>
        <v>12</v>
      </c>
      <c r="E53" s="21">
        <f>(A53*S51)*((A53-1)*T51)*0.000001</f>
        <v>0.216</v>
      </c>
      <c r="R53" s="21" t="s">
        <v>140</v>
      </c>
      <c r="S53" s="21">
        <v>9.1300000000000008</v>
      </c>
      <c r="T53" s="21"/>
      <c r="U53" s="21"/>
    </row>
    <row r="54" spans="1:21" x14ac:dyDescent="0.2">
      <c r="A54" s="123"/>
      <c r="B54" s="1" t="s">
        <v>66</v>
      </c>
      <c r="C54" s="21">
        <v>12</v>
      </c>
      <c r="D54" s="21">
        <v>12</v>
      </c>
      <c r="E54" s="54">
        <f>(A53*2-3)*S51*(A53-1)*T51*0.000001</f>
        <v>0.26999999999999996</v>
      </c>
      <c r="R54" s="21"/>
      <c r="S54" s="21"/>
      <c r="T54" s="21"/>
      <c r="U54" s="21"/>
    </row>
    <row r="55" spans="1:21" x14ac:dyDescent="0.2">
      <c r="A55" s="123"/>
      <c r="B55" s="1" t="s">
        <v>98</v>
      </c>
      <c r="C55" s="21">
        <f>(A53^2+10*A53-32)/4</f>
        <v>6</v>
      </c>
      <c r="D55" s="21">
        <v>6</v>
      </c>
      <c r="E55" s="54">
        <f>(A53/2+1)*S51*T51*(A53-1)*0.000001</f>
        <v>0.16200000000000001</v>
      </c>
    </row>
    <row r="56" spans="1:21" x14ac:dyDescent="0.2">
      <c r="A56" s="138"/>
      <c r="B56" s="70" t="s">
        <v>145</v>
      </c>
      <c r="C56" s="70">
        <f>(A53/2)*LOG(A53, 2)</f>
        <v>4</v>
      </c>
      <c r="D56" s="70">
        <f>A53*(LOG(A53,2)+1)</f>
        <v>12</v>
      </c>
      <c r="E56" s="54">
        <f>(C56*S53/(A53/2)+D56*S52/(A53)+S56*S48/4)*(A53-1)*T51*0.000001</f>
        <v>7.6186799999999999E-2</v>
      </c>
    </row>
    <row r="57" spans="1:21" x14ac:dyDescent="0.2">
      <c r="A57" s="139">
        <v>64</v>
      </c>
      <c r="B57" s="1" t="s">
        <v>47</v>
      </c>
      <c r="C57" s="21">
        <f>A57*(A57-1)</f>
        <v>4032</v>
      </c>
      <c r="D57" s="21">
        <f>A57*(A57-1)</f>
        <v>4032</v>
      </c>
      <c r="E57" s="21">
        <f>(A57*S51)*((A57-1)*T51)*0.000001</f>
        <v>72.575999999999993</v>
      </c>
    </row>
    <row r="58" spans="1:21" x14ac:dyDescent="0.2">
      <c r="A58" s="123"/>
      <c r="B58" s="1" t="s">
        <v>66</v>
      </c>
      <c r="C58" s="21">
        <v>12</v>
      </c>
      <c r="D58" s="21">
        <v>12</v>
      </c>
      <c r="E58" s="54">
        <f>(A57*2-3)*S51*(A57-1)*T51*0.000001</f>
        <v>141.75</v>
      </c>
    </row>
    <row r="59" spans="1:21" x14ac:dyDescent="0.2">
      <c r="A59" s="123"/>
      <c r="B59" s="1" t="s">
        <v>98</v>
      </c>
      <c r="C59" s="21">
        <f>(A57^2+10*A57-32)/4</f>
        <v>1176</v>
      </c>
      <c r="D59" s="21">
        <v>6</v>
      </c>
      <c r="E59" s="54">
        <f>(A57/2+1)*S51*T51*(A57-1)*0.000001</f>
        <v>37.421999999999997</v>
      </c>
      <c r="F59">
        <f>(E58-E59)/E58</f>
        <v>0.73599999999999999</v>
      </c>
      <c r="G59">
        <f>(E57-E59)/E57</f>
        <v>0.484375</v>
      </c>
    </row>
    <row r="60" spans="1:21" x14ac:dyDescent="0.2">
      <c r="A60" s="138"/>
      <c r="B60" s="70" t="s">
        <v>145</v>
      </c>
      <c r="C60" s="70">
        <f>(A57/2)*LOG(A57, 2)</f>
        <v>192</v>
      </c>
      <c r="D60" s="70">
        <f>A57*(LOG(A57,2)+1)</f>
        <v>448</v>
      </c>
      <c r="E60" s="54">
        <f>(C60*S57/(A57/2)+D60*S56/(A57)+S60*S52/4)*(A57-1)*T55*0.000001</f>
        <v>0</v>
      </c>
    </row>
    <row r="64" spans="1:21" x14ac:dyDescent="0.2">
      <c r="A64" t="s">
        <v>151</v>
      </c>
    </row>
    <row r="66" spans="1:7" x14ac:dyDescent="0.2">
      <c r="A66" s="120" t="s">
        <v>3</v>
      </c>
      <c r="B66" s="120" t="s">
        <v>72</v>
      </c>
      <c r="C66" s="129" t="s">
        <v>109</v>
      </c>
      <c r="D66" s="129"/>
      <c r="E66" s="129" t="s">
        <v>124</v>
      </c>
      <c r="F66" s="129"/>
      <c r="G66" s="120" t="s">
        <v>129</v>
      </c>
    </row>
    <row r="67" spans="1:7" x14ac:dyDescent="0.2">
      <c r="A67" s="121"/>
      <c r="B67" s="121"/>
      <c r="C67" s="44" t="s">
        <v>152</v>
      </c>
      <c r="D67" s="44" t="s">
        <v>153</v>
      </c>
      <c r="E67" s="44" t="s">
        <v>152</v>
      </c>
      <c r="F67" s="44" t="s">
        <v>153</v>
      </c>
      <c r="G67" s="121"/>
    </row>
    <row r="68" spans="1:7" x14ac:dyDescent="0.2">
      <c r="A68" s="123">
        <v>8</v>
      </c>
      <c r="B68" s="1" t="s">
        <v>47</v>
      </c>
      <c r="C68" s="69">
        <v>406.17500000000001</v>
      </c>
      <c r="D68" s="69">
        <v>738.61500000000001</v>
      </c>
      <c r="E68" s="69">
        <v>154.09673839999999</v>
      </c>
      <c r="F68" s="69">
        <v>30.106738399999998</v>
      </c>
      <c r="G68" s="69">
        <v>1.008</v>
      </c>
    </row>
    <row r="69" spans="1:7" x14ac:dyDescent="0.2">
      <c r="A69" s="123"/>
      <c r="B69" s="1" t="s">
        <v>66</v>
      </c>
      <c r="C69" s="69">
        <v>406.17500000000001</v>
      </c>
      <c r="D69" s="69">
        <v>738.61500000000001</v>
      </c>
      <c r="E69" s="69">
        <v>154.09675239999999</v>
      </c>
      <c r="F69" s="69">
        <v>30.106752399999998</v>
      </c>
      <c r="G69" s="69">
        <v>1.6379999999999999</v>
      </c>
    </row>
    <row r="70" spans="1:7" x14ac:dyDescent="0.2">
      <c r="A70" s="138"/>
      <c r="B70" s="26" t="s">
        <v>98</v>
      </c>
      <c r="C70" s="72">
        <v>387.41500000000002</v>
      </c>
      <c r="D70" s="72">
        <v>560.11500000000001</v>
      </c>
      <c r="E70" s="72">
        <v>154.08592200000001</v>
      </c>
      <c r="F70" s="72">
        <v>30.095921999999998</v>
      </c>
      <c r="G70" s="72">
        <v>0.63</v>
      </c>
    </row>
    <row r="71" spans="1:7" x14ac:dyDescent="0.2">
      <c r="A71" s="123">
        <v>16</v>
      </c>
      <c r="B71" s="1" t="s">
        <v>47</v>
      </c>
      <c r="C71" s="69">
        <v>534.89499999999998</v>
      </c>
      <c r="D71" s="69">
        <v>1930.0150000000001</v>
      </c>
      <c r="E71" s="69">
        <v>154.16778479999999</v>
      </c>
      <c r="F71" s="69">
        <v>30.177784800000001</v>
      </c>
      <c r="G71" s="69">
        <v>4.3199999999999994</v>
      </c>
    </row>
    <row r="72" spans="1:7" x14ac:dyDescent="0.2">
      <c r="A72" s="123"/>
      <c r="B72" s="1" t="s">
        <v>66</v>
      </c>
      <c r="C72" s="69">
        <v>534.89499999999998</v>
      </c>
      <c r="D72" s="69">
        <v>1930.0150000000001</v>
      </c>
      <c r="E72" s="69">
        <v>154.16782119999999</v>
      </c>
      <c r="F72" s="69">
        <v>30.1778212</v>
      </c>
      <c r="G72" s="69">
        <v>7.83</v>
      </c>
    </row>
    <row r="73" spans="1:7" x14ac:dyDescent="0.2">
      <c r="A73" s="138"/>
      <c r="B73" s="26" t="s">
        <v>98</v>
      </c>
      <c r="C73" s="72">
        <v>438.41499999999996</v>
      </c>
      <c r="D73" s="72">
        <v>1012.0150000000001</v>
      </c>
      <c r="E73" s="72">
        <v>154.11218120000001</v>
      </c>
      <c r="F73" s="72">
        <v>30.1221812</v>
      </c>
      <c r="G73" s="72">
        <v>2.4299999999999997</v>
      </c>
    </row>
    <row r="76" spans="1:7" x14ac:dyDescent="0.2">
      <c r="A76" s="120" t="s">
        <v>3</v>
      </c>
      <c r="B76" s="120" t="s">
        <v>72</v>
      </c>
      <c r="C76" s="132" t="s">
        <v>152</v>
      </c>
      <c r="D76" s="132"/>
      <c r="E76" s="132" t="s">
        <v>153</v>
      </c>
      <c r="F76" s="132"/>
      <c r="G76" s="120" t="s">
        <v>129</v>
      </c>
    </row>
    <row r="77" spans="1:7" x14ac:dyDescent="0.2">
      <c r="A77" s="121"/>
      <c r="B77" s="121"/>
      <c r="C77" s="87" t="s">
        <v>101</v>
      </c>
      <c r="D77" s="87" t="s">
        <v>116</v>
      </c>
      <c r="E77" s="87" t="s">
        <v>101</v>
      </c>
      <c r="F77" s="87" t="s">
        <v>116</v>
      </c>
      <c r="G77" s="121"/>
    </row>
    <row r="78" spans="1:7" x14ac:dyDescent="0.2">
      <c r="A78" s="123">
        <v>8</v>
      </c>
      <c r="B78" s="1" t="s">
        <v>47</v>
      </c>
      <c r="C78" s="69">
        <v>406.17500000000001</v>
      </c>
      <c r="D78" s="69">
        <v>154.09673839999999</v>
      </c>
      <c r="E78" s="69">
        <v>738.61500000000001</v>
      </c>
      <c r="F78" s="69">
        <v>30.106738399999998</v>
      </c>
      <c r="G78" s="69">
        <v>1.008</v>
      </c>
    </row>
    <row r="79" spans="1:7" x14ac:dyDescent="0.2">
      <c r="A79" s="123"/>
      <c r="B79" s="1" t="s">
        <v>66</v>
      </c>
      <c r="C79" s="69">
        <v>406.17500000000001</v>
      </c>
      <c r="D79" s="69">
        <v>154.09675239999999</v>
      </c>
      <c r="E79" s="69">
        <v>738.61500000000001</v>
      </c>
      <c r="F79" s="69">
        <v>30.106752399999998</v>
      </c>
      <c r="G79" s="69">
        <v>1.6379999999999999</v>
      </c>
    </row>
    <row r="80" spans="1:7" x14ac:dyDescent="0.2">
      <c r="A80" s="138"/>
      <c r="B80" s="26" t="s">
        <v>98</v>
      </c>
      <c r="C80" s="72">
        <v>387.41500000000002</v>
      </c>
      <c r="D80" s="72">
        <v>154.08592200000001</v>
      </c>
      <c r="E80" s="72">
        <v>560.11500000000001</v>
      </c>
      <c r="F80" s="72">
        <v>30.095921999999998</v>
      </c>
      <c r="G80" s="72">
        <v>0.63</v>
      </c>
    </row>
    <row r="81" spans="1:7" x14ac:dyDescent="0.2">
      <c r="A81" s="123">
        <v>16</v>
      </c>
      <c r="B81" s="1" t="s">
        <v>47</v>
      </c>
      <c r="C81" s="69">
        <v>534.89499999999998</v>
      </c>
      <c r="D81" s="69">
        <v>154.16778479999999</v>
      </c>
      <c r="E81" s="69">
        <v>1930.0150000000001</v>
      </c>
      <c r="F81" s="69">
        <v>30.177784800000001</v>
      </c>
      <c r="G81" s="69">
        <v>4.3199999999999994</v>
      </c>
    </row>
    <row r="82" spans="1:7" x14ac:dyDescent="0.2">
      <c r="A82" s="123"/>
      <c r="B82" s="1" t="s">
        <v>66</v>
      </c>
      <c r="C82" s="69">
        <v>534.89499999999998</v>
      </c>
      <c r="D82" s="69">
        <v>154.16782119999999</v>
      </c>
      <c r="E82" s="69">
        <v>1930.0150000000001</v>
      </c>
      <c r="F82" s="69">
        <v>30.1778212</v>
      </c>
      <c r="G82" s="69">
        <v>7.83</v>
      </c>
    </row>
    <row r="83" spans="1:7" x14ac:dyDescent="0.2">
      <c r="A83" s="138"/>
      <c r="B83" s="26" t="s">
        <v>98</v>
      </c>
      <c r="C83" s="72">
        <v>438.41499999999996</v>
      </c>
      <c r="D83" s="72">
        <v>154.11218120000001</v>
      </c>
      <c r="E83" s="72">
        <v>1012.0150000000001</v>
      </c>
      <c r="F83" s="72">
        <v>30.1221812</v>
      </c>
      <c r="G83" s="72">
        <v>2.4299999999999997</v>
      </c>
    </row>
  </sheetData>
  <mergeCells count="47">
    <mergeCell ref="L32:L33"/>
    <mergeCell ref="M32:N32"/>
    <mergeCell ref="A34:A36"/>
    <mergeCell ref="A26:A28"/>
    <mergeCell ref="A32:A33"/>
    <mergeCell ref="B32:B33"/>
    <mergeCell ref="E32:F32"/>
    <mergeCell ref="C32:D32"/>
    <mergeCell ref="J32:J33"/>
    <mergeCell ref="G32:G33"/>
    <mergeCell ref="H32:I32"/>
    <mergeCell ref="L21:M21"/>
    <mergeCell ref="A23:A25"/>
    <mergeCell ref="A21:A22"/>
    <mergeCell ref="B21:B22"/>
    <mergeCell ref="C21:C22"/>
    <mergeCell ref="D21:D22"/>
    <mergeCell ref="E21:F21"/>
    <mergeCell ref="G21:G22"/>
    <mergeCell ref="A57:A60"/>
    <mergeCell ref="A53:A56"/>
    <mergeCell ref="H21:I21"/>
    <mergeCell ref="J21:J22"/>
    <mergeCell ref="K21:K22"/>
    <mergeCell ref="K32:K33"/>
    <mergeCell ref="A37:A39"/>
    <mergeCell ref="A45:A48"/>
    <mergeCell ref="A49:A52"/>
    <mergeCell ref="E43:E44"/>
    <mergeCell ref="A43:A44"/>
    <mergeCell ref="B43:B44"/>
    <mergeCell ref="C43:C44"/>
    <mergeCell ref="D43:D44"/>
    <mergeCell ref="A81:A83"/>
    <mergeCell ref="C76:D76"/>
    <mergeCell ref="E76:F76"/>
    <mergeCell ref="G76:G77"/>
    <mergeCell ref="E66:F66"/>
    <mergeCell ref="G66:G67"/>
    <mergeCell ref="A76:A77"/>
    <mergeCell ref="B76:B77"/>
    <mergeCell ref="A78:A80"/>
    <mergeCell ref="A66:A67"/>
    <mergeCell ref="B66:B67"/>
    <mergeCell ref="A68:A70"/>
    <mergeCell ref="A71:A73"/>
    <mergeCell ref="C66:D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Clements</vt:lpstr>
      <vt:lpstr>PTQ_with_noise</vt:lpstr>
      <vt:lpstr>Reck</vt:lpstr>
      <vt:lpstr>miniBokun</vt:lpstr>
      <vt:lpstr>just_calculations</vt:lpstr>
      <vt:lpstr>power-latency-area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Bokun Zhao</cp:lastModifiedBy>
  <cp:revision/>
  <dcterms:created xsi:type="dcterms:W3CDTF">2024-07-18T03:03:02Z</dcterms:created>
  <dcterms:modified xsi:type="dcterms:W3CDTF">2024-09-20T12:39:22Z</dcterms:modified>
  <cp:category/>
  <cp:contentStatus/>
</cp:coreProperties>
</file>